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ali\Desktop\INBOX\UniPegaso\projectWork\T3.7\Parti\eGreenBoard\docs\"/>
    </mc:Choice>
  </mc:AlternateContent>
  <xr:revisionPtr revIDLastSave="0" documentId="13_ncr:1_{E283E8E1-FFAE-4E64-B25F-D8F426ECAC8B}" xr6:coauthVersionLast="47" xr6:coauthVersionMax="47" xr10:uidLastSave="{00000000-0000-0000-0000-000000000000}"/>
  <bookViews>
    <workbookView xWindow="28680" yWindow="-120" windowWidth="29040" windowHeight="16440" tabRatio="832" xr2:uid="{AC2C8999-3E2D-408F-B712-88BC4C499A8A}"/>
  </bookViews>
  <sheets>
    <sheet name="Ambiti e interventi" sheetId="10" r:id="rId1"/>
    <sheet name="Riepilogo_doc stampa e digitale" sheetId="5" r:id="rId2"/>
    <sheet name="Riepologo_OBF e AF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0" l="1"/>
  <c r="G65" i="10"/>
  <c r="K65" i="10" s="1"/>
  <c r="E66" i="10"/>
  <c r="N199" i="10"/>
  <c r="M199" i="10"/>
  <c r="L199" i="10"/>
  <c r="K199" i="10"/>
  <c r="J199" i="10"/>
  <c r="I199" i="10"/>
  <c r="I7" i="10" s="1"/>
  <c r="I35" i="10" s="1"/>
  <c r="N192" i="10"/>
  <c r="N7" i="10" s="1"/>
  <c r="N35" i="10" s="1"/>
  <c r="L192" i="10"/>
  <c r="L7" i="10" s="1"/>
  <c r="L35" i="10" s="1"/>
  <c r="J192" i="10"/>
  <c r="J7" i="10" s="1"/>
  <c r="J35" i="10" s="1"/>
  <c r="H179" i="10"/>
  <c r="G179" i="10"/>
  <c r="K179" i="10" s="1"/>
  <c r="F178" i="10"/>
  <c r="E178" i="10"/>
  <c r="C175" i="10"/>
  <c r="C174" i="10"/>
  <c r="L170" i="10"/>
  <c r="L169" i="10"/>
  <c r="L171" i="10" s="1"/>
  <c r="J169" i="10"/>
  <c r="J171" i="10" s="1"/>
  <c r="D169" i="10"/>
  <c r="E28" i="10" s="1"/>
  <c r="M167" i="10"/>
  <c r="N169" i="10" s="1"/>
  <c r="N171" i="10" s="1"/>
  <c r="K167" i="10"/>
  <c r="I167" i="10"/>
  <c r="M165" i="10"/>
  <c r="K165" i="10"/>
  <c r="I165" i="10"/>
  <c r="F152" i="10"/>
  <c r="E152" i="10"/>
  <c r="H151" i="10"/>
  <c r="G151" i="10"/>
  <c r="D151" i="10" s="1"/>
  <c r="C148" i="10"/>
  <c r="C147" i="10"/>
  <c r="L143" i="10"/>
  <c r="L142" i="10"/>
  <c r="D142" i="10"/>
  <c r="D141" i="10"/>
  <c r="M140" i="10"/>
  <c r="K140" i="10"/>
  <c r="I140" i="10"/>
  <c r="N138" i="10"/>
  <c r="N142" i="10" s="1"/>
  <c r="L138" i="10"/>
  <c r="L144" i="10" s="1"/>
  <c r="K138" i="10"/>
  <c r="J138" i="10"/>
  <c r="M123" i="10"/>
  <c r="K123" i="10"/>
  <c r="I123" i="10"/>
  <c r="H122" i="10"/>
  <c r="G122" i="10"/>
  <c r="K122" i="10" s="1"/>
  <c r="F121" i="10"/>
  <c r="E121" i="10"/>
  <c r="C118" i="10"/>
  <c r="C117" i="10"/>
  <c r="L113" i="10"/>
  <c r="L112" i="10"/>
  <c r="D112" i="10"/>
  <c r="E22" i="10" s="1"/>
  <c r="D111" i="10"/>
  <c r="M110" i="10"/>
  <c r="K110" i="10"/>
  <c r="I110" i="10"/>
  <c r="M108" i="10"/>
  <c r="K108" i="10"/>
  <c r="I108" i="10"/>
  <c r="N107" i="10"/>
  <c r="L107" i="10"/>
  <c r="K107" i="10"/>
  <c r="J107" i="10"/>
  <c r="M106" i="10"/>
  <c r="K106" i="10"/>
  <c r="I106" i="10"/>
  <c r="H93" i="10"/>
  <c r="G93" i="10"/>
  <c r="J93" i="10" s="1"/>
  <c r="F92" i="10"/>
  <c r="E92" i="10"/>
  <c r="C89" i="10"/>
  <c r="C88" i="10"/>
  <c r="L84" i="10"/>
  <c r="L83" i="10"/>
  <c r="L85" i="10" s="1"/>
  <c r="D83" i="10"/>
  <c r="E19" i="10" s="1"/>
  <c r="M81" i="10"/>
  <c r="K81" i="10"/>
  <c r="I81" i="10"/>
  <c r="M79" i="10"/>
  <c r="K79" i="10"/>
  <c r="I79" i="10"/>
  <c r="F66" i="10"/>
  <c r="H65" i="10"/>
  <c r="C62" i="10"/>
  <c r="C61" i="10"/>
  <c r="L57" i="10"/>
  <c r="L56" i="10"/>
  <c r="D56" i="10"/>
  <c r="E16" i="10" s="1"/>
  <c r="D55" i="10"/>
  <c r="M54" i="10"/>
  <c r="K54" i="10"/>
  <c r="I54" i="10"/>
  <c r="N52" i="10"/>
  <c r="L52" i="10"/>
  <c r="K52" i="10"/>
  <c r="J52" i="10"/>
  <c r="H35" i="10"/>
  <c r="G35" i="10"/>
  <c r="F35" i="10"/>
  <c r="E35" i="10"/>
  <c r="C27" i="10"/>
  <c r="E25" i="10"/>
  <c r="C24" i="10"/>
  <c r="AD22" i="10"/>
  <c r="Z22" i="10"/>
  <c r="Y22" i="10"/>
  <c r="C21" i="10"/>
  <c r="AC20" i="10"/>
  <c r="Y20" i="10"/>
  <c r="C18" i="10"/>
  <c r="C15" i="10"/>
  <c r="M7" i="10"/>
  <c r="M35" i="10" s="1"/>
  <c r="K7" i="10"/>
  <c r="K35" i="10" s="1"/>
  <c r="H7" i="10"/>
  <c r="G7" i="10"/>
  <c r="F7" i="10"/>
  <c r="E7" i="10"/>
  <c r="H6" i="10"/>
  <c r="G6" i="10"/>
  <c r="G8" i="10" s="1"/>
  <c r="F6" i="10"/>
  <c r="E6" i="10"/>
  <c r="J151" i="10" l="1"/>
  <c r="H8" i="10"/>
  <c r="L6" i="10"/>
  <c r="L8" i="10" s="1"/>
  <c r="D92" i="10"/>
  <c r="D121" i="10"/>
  <c r="J56" i="10"/>
  <c r="D93" i="10"/>
  <c r="D122" i="10"/>
  <c r="D178" i="10"/>
  <c r="N179" i="10"/>
  <c r="N181" i="10" s="1"/>
  <c r="N6" i="10"/>
  <c r="N8" i="10" s="1"/>
  <c r="I6" i="10"/>
  <c r="I8" i="10" s="1"/>
  <c r="H19" i="10" s="1"/>
  <c r="K152" i="10"/>
  <c r="N56" i="10"/>
  <c r="N58" i="10" s="1"/>
  <c r="K92" i="10"/>
  <c r="N83" i="10"/>
  <c r="N85" i="10" s="1"/>
  <c r="M178" i="10"/>
  <c r="E8" i="10"/>
  <c r="J83" i="10"/>
  <c r="J85" i="10" s="1"/>
  <c r="L114" i="10"/>
  <c r="F8" i="10"/>
  <c r="L151" i="10"/>
  <c r="L154" i="10" s="1"/>
  <c r="N151" i="10"/>
  <c r="N154" i="10" s="1"/>
  <c r="D152" i="10"/>
  <c r="M121" i="10"/>
  <c r="L93" i="10"/>
  <c r="L95" i="10" s="1"/>
  <c r="J112" i="10"/>
  <c r="J114" i="10" s="1"/>
  <c r="N93" i="10"/>
  <c r="M152" i="10"/>
  <c r="N122" i="10"/>
  <c r="N112" i="10"/>
  <c r="N114" i="10" s="1"/>
  <c r="H34" i="10"/>
  <c r="H36" i="10" s="1"/>
  <c r="M6" i="10"/>
  <c r="M8" i="10" s="1"/>
  <c r="AC21" i="10" s="1"/>
  <c r="J58" i="10"/>
  <c r="L58" i="10"/>
  <c r="K6" i="10"/>
  <c r="K8" i="10" s="1"/>
  <c r="Y21" i="10" s="1"/>
  <c r="D65" i="10"/>
  <c r="D66" i="10"/>
  <c r="G34" i="10"/>
  <c r="G36" i="10" s="1"/>
  <c r="F34" i="10"/>
  <c r="F36" i="10" s="1"/>
  <c r="I66" i="10"/>
  <c r="K66" i="10"/>
  <c r="I92" i="10"/>
  <c r="L122" i="10"/>
  <c r="L125" i="10" s="1"/>
  <c r="N144" i="10"/>
  <c r="I152" i="10"/>
  <c r="M92" i="10"/>
  <c r="D123" i="10"/>
  <c r="I178" i="10"/>
  <c r="K178" i="10"/>
  <c r="J65" i="10"/>
  <c r="I121" i="10"/>
  <c r="J6" i="10"/>
  <c r="J8" i="10" s="1"/>
  <c r="M66" i="10"/>
  <c r="D179" i="10"/>
  <c r="K93" i="10"/>
  <c r="K151" i="10"/>
  <c r="K121" i="10"/>
  <c r="L65" i="10"/>
  <c r="J142" i="10"/>
  <c r="J144" i="10" s="1"/>
  <c r="E34" i="10"/>
  <c r="E36" i="10" s="1"/>
  <c r="N65" i="10"/>
  <c r="J179" i="10"/>
  <c r="J181" i="10" s="1"/>
  <c r="J122" i="10"/>
  <c r="L179" i="10"/>
  <c r="L181" i="10" s="1"/>
  <c r="L10" i="10" l="1"/>
  <c r="Z21" i="10"/>
  <c r="Z25" i="10" s="1"/>
  <c r="AD21" i="10"/>
  <c r="AD25" i="10" s="1"/>
  <c r="N10" i="10"/>
  <c r="H22" i="10"/>
  <c r="U21" i="10"/>
  <c r="H28" i="10"/>
  <c r="H25" i="10"/>
  <c r="N95" i="10"/>
  <c r="I59" i="10"/>
  <c r="H16" i="10" s="1"/>
  <c r="J95" i="10"/>
  <c r="N125" i="10"/>
  <c r="M59" i="10"/>
  <c r="K59" i="10"/>
  <c r="J125" i="10"/>
  <c r="J68" i="10"/>
  <c r="J34" i="10"/>
  <c r="J36" i="10" s="1"/>
  <c r="J38" i="10" s="1"/>
  <c r="M34" i="10"/>
  <c r="M36" i="10" s="1"/>
  <c r="J10" i="10"/>
  <c r="V21" i="10"/>
  <c r="V25" i="10" s="1"/>
  <c r="K34" i="10"/>
  <c r="K36" i="10" s="1"/>
  <c r="N68" i="10"/>
  <c r="N34" i="10"/>
  <c r="N36" i="10" s="1"/>
  <c r="N38" i="10" s="1"/>
  <c r="J154" i="10"/>
  <c r="L68" i="10"/>
  <c r="L34" i="10"/>
  <c r="L36" i="10" s="1"/>
  <c r="L38" i="10" s="1"/>
  <c r="I34" i="10"/>
  <c r="I36" i="10" s="1"/>
  <c r="D40" i="5" l="1"/>
  <c r="D23" i="8" l="1"/>
  <c r="C23" i="8"/>
  <c r="L22" i="8"/>
  <c r="J22" i="8"/>
  <c r="H22" i="8"/>
  <c r="H23" i="8" s="1"/>
  <c r="L21" i="8"/>
  <c r="L23" i="8" s="1"/>
  <c r="J21" i="8"/>
  <c r="J23" i="8" s="1"/>
  <c r="H21" i="8"/>
  <c r="F21" i="8"/>
  <c r="F23" i="8" s="1"/>
  <c r="E21" i="8"/>
  <c r="I21" i="8" s="1"/>
  <c r="I23" i="8" s="1"/>
  <c r="I15" i="8"/>
  <c r="F15" i="8"/>
  <c r="E15" i="8"/>
  <c r="D15" i="8"/>
  <c r="C15" i="8"/>
  <c r="L14" i="8"/>
  <c r="J14" i="8"/>
  <c r="J15" i="8" s="1"/>
  <c r="H14" i="8"/>
  <c r="H15" i="8" s="1"/>
  <c r="L13" i="8"/>
  <c r="L15" i="8" s="1"/>
  <c r="J13" i="8"/>
  <c r="I13" i="8"/>
  <c r="H13" i="8"/>
  <c r="F13" i="8"/>
  <c r="J7" i="8"/>
  <c r="I7" i="8"/>
  <c r="E7" i="8"/>
  <c r="D7" i="8"/>
  <c r="C7" i="8"/>
  <c r="L6" i="8"/>
  <c r="J6" i="8"/>
  <c r="H6" i="8"/>
  <c r="L5" i="8"/>
  <c r="L7" i="8" s="1"/>
  <c r="J5" i="8"/>
  <c r="I5" i="8"/>
  <c r="H5" i="8"/>
  <c r="H7" i="8" s="1"/>
  <c r="E5" i="8"/>
  <c r="F5" i="8" s="1"/>
  <c r="F7" i="8" s="1"/>
  <c r="E23" i="8" l="1"/>
  <c r="W72" i="5" l="1"/>
  <c r="U72" i="5"/>
  <c r="S72" i="5"/>
  <c r="R72" i="5"/>
  <c r="X72" i="5" s="1"/>
  <c r="K72" i="5"/>
  <c r="I72" i="5"/>
  <c r="G72" i="5"/>
  <c r="F72" i="5"/>
  <c r="J72" i="5" s="1"/>
  <c r="W67" i="5"/>
  <c r="U67" i="5"/>
  <c r="S67" i="5"/>
  <c r="K67" i="5"/>
  <c r="I67" i="5"/>
  <c r="G67" i="5"/>
  <c r="W70" i="5"/>
  <c r="U70" i="5"/>
  <c r="S70" i="5"/>
  <c r="R70" i="5"/>
  <c r="T70" i="5" s="1"/>
  <c r="K70" i="5"/>
  <c r="I70" i="5"/>
  <c r="G70" i="5"/>
  <c r="F70" i="5"/>
  <c r="J70" i="5" s="1"/>
  <c r="K28" i="5"/>
  <c r="I28" i="5"/>
  <c r="G28" i="5"/>
  <c r="F28" i="5"/>
  <c r="J28" i="5" s="1"/>
  <c r="K60" i="5"/>
  <c r="K52" i="5"/>
  <c r="K57" i="5"/>
  <c r="I57" i="5"/>
  <c r="G57" i="5"/>
  <c r="U54" i="5"/>
  <c r="R54" i="5"/>
  <c r="T54" i="5" s="1"/>
  <c r="W57" i="5"/>
  <c r="U57" i="5"/>
  <c r="S57" i="5"/>
  <c r="R50" i="5"/>
  <c r="X50" i="5" s="1"/>
  <c r="Q84" i="5"/>
  <c r="P84" i="5"/>
  <c r="O84" i="5"/>
  <c r="W83" i="5"/>
  <c r="U83" i="5"/>
  <c r="S83" i="5"/>
  <c r="W81" i="5"/>
  <c r="U81" i="5"/>
  <c r="S81" i="5"/>
  <c r="W78" i="5"/>
  <c r="U78" i="5"/>
  <c r="S78" i="5"/>
  <c r="U76" i="5"/>
  <c r="R76" i="5"/>
  <c r="T76" i="5" s="1"/>
  <c r="W66" i="5"/>
  <c r="U66" i="5"/>
  <c r="S66" i="5"/>
  <c r="W64" i="5"/>
  <c r="U64" i="5"/>
  <c r="S64" i="5"/>
  <c r="W63" i="5"/>
  <c r="U63" i="5"/>
  <c r="S63" i="5"/>
  <c r="R63" i="5"/>
  <c r="V63" i="5" s="1"/>
  <c r="W60" i="5"/>
  <c r="U60" i="5"/>
  <c r="S60" i="5"/>
  <c r="W59" i="5"/>
  <c r="U59" i="5"/>
  <c r="S59" i="5"/>
  <c r="W52" i="5"/>
  <c r="U52" i="5"/>
  <c r="S52" i="5"/>
  <c r="U50" i="5"/>
  <c r="K63" i="5"/>
  <c r="K83" i="5"/>
  <c r="K81" i="5"/>
  <c r="K64" i="5"/>
  <c r="K78" i="5"/>
  <c r="K66" i="5"/>
  <c r="K59" i="5"/>
  <c r="I78" i="5"/>
  <c r="I66" i="5"/>
  <c r="I59" i="5"/>
  <c r="I52" i="5"/>
  <c r="I83" i="5"/>
  <c r="I81" i="5"/>
  <c r="I64" i="5"/>
  <c r="I60" i="5"/>
  <c r="I63" i="5"/>
  <c r="I76" i="5"/>
  <c r="I50" i="5"/>
  <c r="F76" i="5"/>
  <c r="L76" i="5" s="1"/>
  <c r="F63" i="5"/>
  <c r="H63" i="5" s="1"/>
  <c r="F50" i="5"/>
  <c r="L50" i="5" s="1"/>
  <c r="G83" i="5"/>
  <c r="G81" i="5"/>
  <c r="G64" i="5"/>
  <c r="G60" i="5"/>
  <c r="G78" i="5"/>
  <c r="G66" i="5"/>
  <c r="G63" i="5"/>
  <c r="G59" i="5"/>
  <c r="G52" i="5"/>
  <c r="K39" i="5"/>
  <c r="K37" i="5"/>
  <c r="K23" i="5"/>
  <c r="K19" i="5"/>
  <c r="K17" i="5"/>
  <c r="K34" i="5"/>
  <c r="K25" i="5"/>
  <c r="K22" i="5"/>
  <c r="K11" i="5"/>
  <c r="I32" i="5"/>
  <c r="I22" i="5"/>
  <c r="I14" i="5"/>
  <c r="I9" i="5"/>
  <c r="I17" i="5"/>
  <c r="I19" i="5"/>
  <c r="I39" i="5"/>
  <c r="I37" i="5"/>
  <c r="I23" i="5"/>
  <c r="I34" i="5"/>
  <c r="I25" i="5"/>
  <c r="I11" i="5"/>
  <c r="G39" i="5"/>
  <c r="G37" i="5"/>
  <c r="G23" i="5"/>
  <c r="G19" i="5"/>
  <c r="G17" i="5"/>
  <c r="G11" i="5"/>
  <c r="G22" i="5"/>
  <c r="G25" i="5"/>
  <c r="G34" i="5"/>
  <c r="E84" i="5"/>
  <c r="D84" i="5"/>
  <c r="C84" i="5"/>
  <c r="E40" i="5"/>
  <c r="C40" i="5"/>
  <c r="F32" i="5"/>
  <c r="H32" i="5" s="1"/>
  <c r="F22" i="5"/>
  <c r="H22" i="5" s="1"/>
  <c r="F14" i="5"/>
  <c r="H14" i="5" s="1"/>
  <c r="F9" i="5"/>
  <c r="H9" i="5" s="1"/>
  <c r="L72" i="5" l="1"/>
  <c r="V72" i="5"/>
  <c r="H72" i="5"/>
  <c r="T72" i="5"/>
  <c r="L70" i="5"/>
  <c r="H70" i="5"/>
  <c r="V70" i="5"/>
  <c r="X70" i="5"/>
  <c r="L22" i="5"/>
  <c r="L28" i="5"/>
  <c r="H28" i="5"/>
  <c r="H40" i="5" s="1"/>
  <c r="X54" i="5"/>
  <c r="X76" i="5"/>
  <c r="V54" i="5"/>
  <c r="J63" i="5"/>
  <c r="V76" i="5"/>
  <c r="H50" i="5"/>
  <c r="L9" i="5"/>
  <c r="J32" i="5"/>
  <c r="H76" i="5"/>
  <c r="L14" i="5"/>
  <c r="X63" i="5"/>
  <c r="J50" i="5"/>
  <c r="L32" i="5"/>
  <c r="J76" i="5"/>
  <c r="V50" i="5"/>
  <c r="L63" i="5"/>
  <c r="J9" i="5"/>
  <c r="J14" i="5"/>
  <c r="J22" i="5"/>
  <c r="S84" i="5"/>
  <c r="R84" i="5"/>
  <c r="W84" i="5"/>
  <c r="U84" i="5"/>
  <c r="T63" i="5"/>
  <c r="T50" i="5"/>
  <c r="K84" i="5"/>
  <c r="I84" i="5"/>
  <c r="F84" i="5"/>
  <c r="K40" i="5"/>
  <c r="I40" i="5"/>
  <c r="G84" i="5"/>
  <c r="F40" i="5"/>
  <c r="G40" i="5"/>
  <c r="L84" i="5" l="1"/>
  <c r="J84" i="5"/>
  <c r="V84" i="5"/>
  <c r="L40" i="5"/>
  <c r="H84" i="5"/>
  <c r="X84" i="5"/>
  <c r="T84" i="5"/>
  <c r="J40" i="5"/>
</calcChain>
</file>

<file path=xl/sharedStrings.xml><?xml version="1.0" encoding="utf-8"?>
<sst xmlns="http://schemas.openxmlformats.org/spreadsheetml/2006/main" count="602" uniqueCount="104">
  <si>
    <t>POSTEL</t>
  </si>
  <si>
    <t>EGLUE</t>
  </si>
  <si>
    <t>RACCOMANDATA A/R</t>
  </si>
  <si>
    <t>ORDINARIA</t>
  </si>
  <si>
    <t>LE RETI</t>
  </si>
  <si>
    <t>CREDITO</t>
  </si>
  <si>
    <t>ACINQUE ENERGIA</t>
  </si>
  <si>
    <t>VENDITE</t>
  </si>
  <si>
    <t>BILLING</t>
  </si>
  <si>
    <t>FOGLI</t>
  </si>
  <si>
    <t>BUSTE</t>
  </si>
  <si>
    <t>STAMPA</t>
  </si>
  <si>
    <t>CCM</t>
  </si>
  <si>
    <t>MAIL</t>
  </si>
  <si>
    <t>MEDIA FOGLI</t>
  </si>
  <si>
    <t>FONTE DATI:</t>
  </si>
  <si>
    <t>MEDIA FOGLI PER BU</t>
  </si>
  <si>
    <t>PER CALCOLO IMPRONTA</t>
  </si>
  <si>
    <t>FOGLI PER ALBERO</t>
  </si>
  <si>
    <t>LITRI DI ACQUA PER FOGLIO</t>
  </si>
  <si>
    <t>NBA - BILLING/MKTG</t>
  </si>
  <si>
    <t>ALBERI</t>
  </si>
  <si>
    <t>CONSUMO</t>
  </si>
  <si>
    <t>RISPARMIO</t>
  </si>
  <si>
    <t>TOTALI</t>
  </si>
  <si>
    <t>GRAMMI</t>
  </si>
  <si>
    <t>LITRI</t>
  </si>
  <si>
    <t>2023 - PRIMO TRIMESTRE</t>
  </si>
  <si>
    <t>2022 - PRIMO TRIMESTRE</t>
  </si>
  <si>
    <t>BACKOFFICE</t>
  </si>
  <si>
    <t>MARKETING</t>
  </si>
  <si>
    <t>ANNO 2022</t>
  </si>
  <si>
    <t>ALBERI (n.)</t>
  </si>
  <si>
    <t>CO2 (g)</t>
  </si>
  <si>
    <t>ACQUA (l)</t>
  </si>
  <si>
    <t>CONTRATTI</t>
  </si>
  <si>
    <t>DOCUMENTI</t>
  </si>
  <si>
    <t>PAGINE MEDIE MAIL</t>
  </si>
  <si>
    <t>AFC</t>
  </si>
  <si>
    <t>IMMISSIONI CO2 1 FOGLIO</t>
  </si>
  <si>
    <t>OBF</t>
  </si>
  <si>
    <t>IMMISSIONI CO2 1 MAIL</t>
  </si>
  <si>
    <t>Totali</t>
  </si>
  <si>
    <t>media pagine mail</t>
  </si>
  <si>
    <t>DATI 2022</t>
  </si>
  <si>
    <t>% INVII</t>
  </si>
  <si>
    <t>ORDINARIA - DIGITALE</t>
  </si>
  <si>
    <t>ORDINARIA - CARTACEA</t>
  </si>
  <si>
    <t>risparmio se full digital</t>
  </si>
  <si>
    <t>consumo se full digital</t>
  </si>
  <si>
    <t>INTERVENTO:</t>
  </si>
  <si>
    <t>Passaggio di alcune comunicazione da cartacee a digitali:</t>
  </si>
  <si>
    <t>Sostituzione di alcune Raccomandate AR con tNotice:</t>
  </si>
  <si>
    <t>TNOTICE</t>
  </si>
  <si>
    <t>ORDINARIA - CARTA</t>
  </si>
  <si>
    <t>alberi per foglio</t>
  </si>
  <si>
    <t>immissioni CO2 per foglio</t>
  </si>
  <si>
    <t>immissioni CO2 per email</t>
  </si>
  <si>
    <t>litri</t>
  </si>
  <si>
    <t>grammi</t>
  </si>
  <si>
    <t>acqua per foglio</t>
  </si>
  <si>
    <t>alberi</t>
  </si>
  <si>
    <t>PER CALCOLO IMPRONTA:</t>
  </si>
  <si>
    <t>MEDIA FOGLI PER BU:</t>
  </si>
  <si>
    <t>Billing</t>
  </si>
  <si>
    <t>Vendite</t>
  </si>
  <si>
    <t>prima degli interventi</t>
  </si>
  <si>
    <t>dopo gli interventi</t>
  </si>
  <si>
    <t>ABBATTUTI</t>
  </si>
  <si>
    <t>SALVATI</t>
  </si>
  <si>
    <t>CONSUMATA</t>
  </si>
  <si>
    <t>RISPARMIATA</t>
  </si>
  <si>
    <t>IMMESSA</t>
  </si>
  <si>
    <t xml:space="preserve">ambiti esclusi da intervento </t>
  </si>
  <si>
    <t>alberi abbattuti</t>
  </si>
  <si>
    <t>alberi salvati</t>
  </si>
  <si>
    <t>solo invii cartacei</t>
  </si>
  <si>
    <t>impatto 2022</t>
  </si>
  <si>
    <t>solo invii digitali</t>
  </si>
  <si>
    <t>CO2 immessa</t>
  </si>
  <si>
    <t>m3 acqua consumata</t>
  </si>
  <si>
    <t>m3 acqua risparmiata</t>
  </si>
  <si>
    <t>CO2 non immessa</t>
  </si>
  <si>
    <t>NON IMMESSA</t>
  </si>
  <si>
    <t>ALBERI (n)</t>
  </si>
  <si>
    <t>impatto 2022 - score</t>
  </si>
  <si>
    <r>
      <t xml:space="preserve">livello di risparmio </t>
    </r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full digital</t>
    </r>
  </si>
  <si>
    <t>AMBITI DI INTERVENTO</t>
  </si>
  <si>
    <t>INTERVENTO</t>
  </si>
  <si>
    <t>TOTALI - DOPO INTERVENTI</t>
  </si>
  <si>
    <t>BILLING - LERETI</t>
  </si>
  <si>
    <t>LERETI</t>
  </si>
  <si>
    <t>CREDITO - LERETI</t>
  </si>
  <si>
    <t>MARKETING - ACINQUE ENERGIA</t>
  </si>
  <si>
    <t>NBA - BILLING/MKTG - ACINQUE ENERGIA</t>
  </si>
  <si>
    <t>incidenza sui consumi totali</t>
  </si>
  <si>
    <t>incidenza sui consumi/immissioni totali:</t>
  </si>
  <si>
    <t xml:space="preserve">&lt;-- priorità </t>
  </si>
  <si>
    <t>AMBITI NON OGGETTO DI INTERVENTO:</t>
  </si>
  <si>
    <t>(valore max applicabile)</t>
  </si>
  <si>
    <t>CARTACEI</t>
  </si>
  <si>
    <t>DIGITALI</t>
  </si>
  <si>
    <t>DIGITAL</t>
  </si>
  <si>
    <t>TOTAL 2022 - AS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</si>
</sst>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  <numFmt numFmtId="166" formatCode="0.0000"/>
    <numFmt numFmtId="167" formatCode="0.0"/>
    <numFmt numFmtId="168" formatCode="_-* #,##0.0_-;\-* #,##0.0_-;_-* &quot;-&quot;??_-;_-@_-"/>
    <numFmt numFmtId="169" formatCode="#,##0.0_ ;\-#,##0.0\ "/>
    <numFmt numFmtId="170" formatCode="#,##0_ ;\-#,##0\ "/>
    <numFmt numFmtId="171" formatCode="#,##0\ _€"/>
    <numFmt numFmtId="172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3" tint="0.39994506668294322"/>
      </left>
      <right/>
      <top style="medium">
        <color theme="3" tint="0.39994506668294322"/>
      </top>
      <bottom/>
      <diagonal/>
    </border>
    <border>
      <left/>
      <right/>
      <top style="medium">
        <color theme="3" tint="0.39994506668294322"/>
      </top>
      <bottom/>
      <diagonal/>
    </border>
    <border>
      <left/>
      <right style="medium">
        <color theme="3" tint="0.39994506668294322"/>
      </right>
      <top style="medium">
        <color theme="3" tint="0.39994506668294322"/>
      </top>
      <bottom/>
      <diagonal/>
    </border>
    <border>
      <left style="medium">
        <color theme="3" tint="0.39994506668294322"/>
      </left>
      <right/>
      <top/>
      <bottom/>
      <diagonal/>
    </border>
    <border>
      <left/>
      <right style="medium">
        <color theme="3" tint="0.39994506668294322"/>
      </right>
      <top/>
      <bottom/>
      <diagonal/>
    </border>
    <border>
      <left style="medium">
        <color theme="3" tint="0.39994506668294322"/>
      </left>
      <right/>
      <top/>
      <bottom style="medium">
        <color theme="3" tint="0.39994506668294322"/>
      </bottom>
      <diagonal/>
    </border>
    <border>
      <left/>
      <right/>
      <top/>
      <bottom style="medium">
        <color theme="3" tint="0.39994506668294322"/>
      </bottom>
      <diagonal/>
    </border>
    <border>
      <left/>
      <right style="medium">
        <color theme="3" tint="0.39994506668294322"/>
      </right>
      <top/>
      <bottom style="medium">
        <color theme="3" tint="0.3999450666829432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164" fontId="0" fillId="0" borderId="1" xfId="1" applyNumberFormat="1" applyFont="1" applyFill="1" applyBorder="1"/>
    <xf numFmtId="164" fontId="0" fillId="2" borderId="1" xfId="1" applyNumberFormat="1" applyFont="1" applyFill="1" applyBorder="1"/>
    <xf numFmtId="164" fontId="0" fillId="3" borderId="1" xfId="1" applyNumberFormat="1" applyFont="1" applyFill="1" applyBorder="1"/>
    <xf numFmtId="164" fontId="0" fillId="0" borderId="1" xfId="0" applyNumberFormat="1" applyBorder="1"/>
    <xf numFmtId="165" fontId="0" fillId="0" borderId="1" xfId="1" applyNumberFormat="1" applyFon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2"/>
    </xf>
    <xf numFmtId="164" fontId="0" fillId="0" borderId="0" xfId="1" applyNumberFormat="1" applyFont="1"/>
    <xf numFmtId="0" fontId="3" fillId="2" borderId="1" xfId="0" applyFont="1" applyFill="1" applyBorder="1"/>
    <xf numFmtId="0" fontId="3" fillId="3" borderId="1" xfId="0" applyFont="1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0" xfId="0" applyFill="1"/>
    <xf numFmtId="0" fontId="0" fillId="0" borderId="1" xfId="0" applyBorder="1" applyAlignment="1">
      <alignment horizontal="left" indent="2"/>
    </xf>
    <xf numFmtId="43" fontId="0" fillId="0" borderId="1" xfId="1" applyFont="1" applyBorder="1"/>
    <xf numFmtId="164" fontId="0" fillId="0" borderId="2" xfId="1" applyNumberFormat="1" applyFont="1" applyBorder="1" applyAlignment="1">
      <alignment vertical="center"/>
    </xf>
    <xf numFmtId="0" fontId="0" fillId="9" borderId="0" xfId="0" applyFill="1"/>
    <xf numFmtId="0" fontId="2" fillId="0" borderId="4" xfId="0" applyFont="1" applyBorder="1"/>
    <xf numFmtId="164" fontId="2" fillId="0" borderId="5" xfId="1" applyNumberFormat="1" applyFont="1" applyBorder="1"/>
    <xf numFmtId="167" fontId="2" fillId="5" borderId="5" xfId="1" applyNumberFormat="1" applyFont="1" applyFill="1" applyBorder="1"/>
    <xf numFmtId="164" fontId="2" fillId="6" borderId="5" xfId="1" applyNumberFormat="1" applyFont="1" applyFill="1" applyBorder="1"/>
    <xf numFmtId="3" fontId="2" fillId="6" borderId="5" xfId="1" applyNumberFormat="1" applyFont="1" applyFill="1" applyBorder="1"/>
    <xf numFmtId="164" fontId="2" fillId="7" borderId="5" xfId="1" applyNumberFormat="1" applyFont="1" applyFill="1" applyBorder="1"/>
    <xf numFmtId="3" fontId="2" fillId="7" borderId="6" xfId="1" applyNumberFormat="1" applyFont="1" applyFill="1" applyBorder="1"/>
    <xf numFmtId="164" fontId="0" fillId="0" borderId="0" xfId="0" applyNumberFormat="1"/>
    <xf numFmtId="0" fontId="0" fillId="0" borderId="2" xfId="0" applyBorder="1" applyAlignment="1">
      <alignment horizontal="left" indent="2"/>
    </xf>
    <xf numFmtId="164" fontId="0" fillId="0" borderId="2" xfId="1" applyNumberFormat="1" applyFont="1" applyBorder="1"/>
    <xf numFmtId="43" fontId="0" fillId="0" borderId="2" xfId="1" applyFont="1" applyBorder="1"/>
    <xf numFmtId="0" fontId="0" fillId="0" borderId="2" xfId="0" applyBorder="1"/>
    <xf numFmtId="0" fontId="0" fillId="0" borderId="1" xfId="0" applyBorder="1" applyAlignment="1">
      <alignment horizontal="left" indent="1"/>
    </xf>
    <xf numFmtId="0" fontId="0" fillId="10" borderId="0" xfId="0" applyFill="1"/>
    <xf numFmtId="0" fontId="0" fillId="0" borderId="1" xfId="0" applyBorder="1" applyAlignment="1">
      <alignment horizontal="left" indent="3"/>
    </xf>
    <xf numFmtId="0" fontId="0" fillId="0" borderId="2" xfId="0" applyBorder="1" applyAlignment="1">
      <alignment horizontal="left" indent="3"/>
    </xf>
    <xf numFmtId="164" fontId="0" fillId="0" borderId="2" xfId="1" applyNumberFormat="1" applyFont="1" applyFill="1" applyBorder="1"/>
    <xf numFmtId="165" fontId="0" fillId="0" borderId="2" xfId="1" applyNumberFormat="1" applyFont="1" applyBorder="1"/>
    <xf numFmtId="164" fontId="0" fillId="0" borderId="2" xfId="0" applyNumberFormat="1" applyBorder="1"/>
    <xf numFmtId="168" fontId="0" fillId="2" borderId="1" xfId="1" applyNumberFormat="1" applyFont="1" applyFill="1" applyBorder="1"/>
    <xf numFmtId="168" fontId="0" fillId="3" borderId="1" xfId="1" applyNumberFormat="1" applyFont="1" applyFill="1" applyBorder="1"/>
    <xf numFmtId="168" fontId="0" fillId="0" borderId="1" xfId="1" applyNumberFormat="1" applyFont="1" applyBorder="1"/>
    <xf numFmtId="168" fontId="0" fillId="0" borderId="1" xfId="0" applyNumberFormat="1" applyBorder="1"/>
    <xf numFmtId="168" fontId="0" fillId="0" borderId="0" xfId="0" applyNumberFormat="1"/>
    <xf numFmtId="168" fontId="0" fillId="0" borderId="2" xfId="1" applyNumberFormat="1" applyFont="1" applyBorder="1"/>
    <xf numFmtId="168" fontId="2" fillId="5" borderId="5" xfId="1" applyNumberFormat="1" applyFont="1" applyFill="1" applyBorder="1"/>
    <xf numFmtId="164" fontId="2" fillId="7" borderId="6" xfId="1" applyNumberFormat="1" applyFont="1" applyFill="1" applyBorder="1"/>
    <xf numFmtId="43" fontId="2" fillId="8" borderId="5" xfId="1" applyFont="1" applyFill="1" applyBorder="1"/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164" fontId="0" fillId="2" borderId="9" xfId="1" applyNumberFormat="1" applyFont="1" applyFill="1" applyBorder="1" applyAlignment="1">
      <alignment vertical="center"/>
    </xf>
    <xf numFmtId="168" fontId="0" fillId="2" borderId="9" xfId="1" applyNumberFormat="1" applyFont="1" applyFill="1" applyBorder="1" applyAlignment="1">
      <alignment vertical="center"/>
    </xf>
    <xf numFmtId="164" fontId="0" fillId="2" borderId="10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43" fontId="0" fillId="0" borderId="0" xfId="1" applyFont="1"/>
    <xf numFmtId="0" fontId="0" fillId="0" borderId="11" xfId="0" applyBorder="1" applyAlignment="1">
      <alignment vertical="center"/>
    </xf>
    <xf numFmtId="0" fontId="2" fillId="0" borderId="12" xfId="0" applyFont="1" applyBorder="1" applyAlignment="1">
      <alignment vertical="center"/>
    </xf>
    <xf numFmtId="164" fontId="0" fillId="0" borderId="12" xfId="1" applyNumberFormat="1" applyFont="1" applyFill="1" applyBorder="1" applyAlignment="1">
      <alignment vertical="center"/>
    </xf>
    <xf numFmtId="168" fontId="0" fillId="0" borderId="12" xfId="1" applyNumberFormat="1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164" fontId="0" fillId="3" borderId="9" xfId="1" applyNumberFormat="1" applyFont="1" applyFill="1" applyBorder="1" applyAlignment="1">
      <alignment vertical="center"/>
    </xf>
    <xf numFmtId="168" fontId="0" fillId="3" borderId="9" xfId="1" applyNumberFormat="1" applyFont="1" applyFill="1" applyBorder="1" applyAlignment="1">
      <alignment vertical="center"/>
    </xf>
    <xf numFmtId="164" fontId="0" fillId="3" borderId="10" xfId="1" applyNumberFormat="1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0" fillId="0" borderId="17" xfId="0" applyBorder="1" applyAlignment="1">
      <alignment vertical="center"/>
    </xf>
    <xf numFmtId="168" fontId="0" fillId="5" borderId="17" xfId="1" applyNumberFormat="1" applyFont="1" applyFill="1" applyBorder="1" applyAlignment="1">
      <alignment vertical="center"/>
    </xf>
    <xf numFmtId="164" fontId="0" fillId="11" borderId="17" xfId="1" applyNumberFormat="1" applyFont="1" applyFill="1" applyBorder="1" applyAlignment="1">
      <alignment vertical="center"/>
    </xf>
    <xf numFmtId="164" fontId="0" fillId="12" borderId="17" xfId="1" applyNumberFormat="1" applyFont="1" applyFill="1" applyBorder="1" applyAlignment="1">
      <alignment vertical="center"/>
    </xf>
    <xf numFmtId="164" fontId="0" fillId="12" borderId="18" xfId="1" applyNumberFormat="1" applyFont="1" applyFill="1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vertical="center"/>
    </xf>
    <xf numFmtId="164" fontId="0" fillId="0" borderId="20" xfId="1" applyNumberFormat="1" applyFont="1" applyBorder="1" applyAlignment="1">
      <alignment vertical="center"/>
    </xf>
    <xf numFmtId="164" fontId="0" fillId="0" borderId="20" xfId="0" applyNumberFormat="1" applyBorder="1" applyAlignment="1">
      <alignment vertical="center"/>
    </xf>
    <xf numFmtId="168" fontId="0" fillId="5" borderId="20" xfId="1" applyNumberFormat="1" applyFont="1" applyFill="1" applyBorder="1" applyAlignment="1">
      <alignment vertical="center"/>
    </xf>
    <xf numFmtId="168" fontId="0" fillId="5" borderId="20" xfId="0" applyNumberFormat="1" applyFill="1" applyBorder="1" applyAlignment="1">
      <alignment vertical="center"/>
    </xf>
    <xf numFmtId="164" fontId="0" fillId="11" borderId="20" xfId="0" applyNumberFormat="1" applyFill="1" applyBorder="1" applyAlignment="1">
      <alignment vertical="center"/>
    </xf>
    <xf numFmtId="164" fontId="0" fillId="11" borderId="20" xfId="1" applyNumberFormat="1" applyFont="1" applyFill="1" applyBorder="1" applyAlignment="1">
      <alignment vertical="center"/>
    </xf>
    <xf numFmtId="164" fontId="0" fillId="12" borderId="20" xfId="1" applyNumberFormat="1" applyFont="1" applyFill="1" applyBorder="1" applyAlignment="1">
      <alignment vertical="center"/>
    </xf>
    <xf numFmtId="164" fontId="0" fillId="12" borderId="21" xfId="1" applyNumberFormat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164" fontId="0" fillId="0" borderId="20" xfId="1" applyNumberFormat="1" applyFont="1" applyFill="1" applyBorder="1" applyAlignment="1">
      <alignment vertical="center"/>
    </xf>
    <xf numFmtId="0" fontId="0" fillId="0" borderId="22" xfId="0" applyBorder="1" applyAlignment="1">
      <alignment horizontal="left" vertical="center"/>
    </xf>
    <xf numFmtId="164" fontId="0" fillId="0" borderId="23" xfId="1" applyNumberFormat="1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168" fontId="0" fillId="5" borderId="23" xfId="1" applyNumberFormat="1" applyFont="1" applyFill="1" applyBorder="1" applyAlignment="1">
      <alignment vertical="center"/>
    </xf>
    <xf numFmtId="168" fontId="0" fillId="5" borderId="23" xfId="0" applyNumberFormat="1" applyFill="1" applyBorder="1" applyAlignment="1">
      <alignment vertical="center"/>
    </xf>
    <xf numFmtId="164" fontId="0" fillId="11" borderId="23" xfId="0" applyNumberFormat="1" applyFill="1" applyBorder="1" applyAlignment="1">
      <alignment vertical="center"/>
    </xf>
    <xf numFmtId="164" fontId="0" fillId="11" borderId="23" xfId="1" applyNumberFormat="1" applyFont="1" applyFill="1" applyBorder="1" applyAlignment="1">
      <alignment vertical="center"/>
    </xf>
    <xf numFmtId="164" fontId="0" fillId="12" borderId="23" xfId="1" applyNumberFormat="1" applyFont="1" applyFill="1" applyBorder="1" applyAlignment="1">
      <alignment vertical="center"/>
    </xf>
    <xf numFmtId="164" fontId="0" fillId="12" borderId="24" xfId="1" applyNumberFormat="1" applyFont="1" applyFill="1" applyBorder="1" applyAlignment="1">
      <alignment vertical="center"/>
    </xf>
    <xf numFmtId="168" fontId="0" fillId="0" borderId="15" xfId="0" applyNumberFormat="1" applyBorder="1" applyAlignment="1">
      <alignment vertical="center"/>
    </xf>
    <xf numFmtId="164" fontId="0" fillId="0" borderId="0" xfId="1" applyNumberFormat="1" applyFont="1" applyFill="1" applyBorder="1" applyAlignment="1">
      <alignment vertical="center"/>
    </xf>
    <xf numFmtId="168" fontId="0" fillId="0" borderId="0" xfId="1" applyNumberFormat="1" applyFont="1" applyFill="1" applyBorder="1" applyAlignment="1">
      <alignment vertical="center"/>
    </xf>
    <xf numFmtId="16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68" fontId="0" fillId="0" borderId="0" xfId="1" applyNumberFormat="1" applyFont="1" applyFill="1" applyBorder="1" applyAlignment="1">
      <alignment horizontal="right" vertical="center"/>
    </xf>
    <xf numFmtId="9" fontId="0" fillId="0" borderId="0" xfId="2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9" fontId="4" fillId="0" borderId="1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164" fontId="4" fillId="0" borderId="25" xfId="1" applyNumberFormat="1" applyFont="1" applyFill="1" applyBorder="1" applyAlignment="1">
      <alignment vertical="center"/>
    </xf>
    <xf numFmtId="9" fontId="4" fillId="0" borderId="14" xfId="0" applyNumberFormat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6" xfId="0" applyBorder="1" applyAlignment="1">
      <alignment vertical="center"/>
    </xf>
    <xf numFmtId="164" fontId="0" fillId="0" borderId="17" xfId="1" applyNumberFormat="1" applyFont="1" applyFill="1" applyBorder="1" applyAlignment="1">
      <alignment vertical="center"/>
    </xf>
    <xf numFmtId="168" fontId="0" fillId="5" borderId="17" xfId="0" applyNumberFormat="1" applyFill="1" applyBorder="1" applyAlignment="1">
      <alignment vertical="center"/>
    </xf>
    <xf numFmtId="164" fontId="0" fillId="11" borderId="17" xfId="0" applyNumberFormat="1" applyFill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horizontal="left" vertical="center"/>
    </xf>
    <xf numFmtId="164" fontId="0" fillId="0" borderId="27" xfId="1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168" fontId="0" fillId="0" borderId="27" xfId="1" applyNumberFormat="1" applyFont="1" applyFill="1" applyBorder="1" applyAlignment="1">
      <alignment vertical="center"/>
    </xf>
    <xf numFmtId="168" fontId="0" fillId="0" borderId="27" xfId="0" applyNumberFormat="1" applyBorder="1" applyAlignment="1">
      <alignment vertical="center"/>
    </xf>
    <xf numFmtId="164" fontId="0" fillId="0" borderId="27" xfId="0" applyNumberFormat="1" applyBorder="1" applyAlignment="1">
      <alignment vertical="center"/>
    </xf>
    <xf numFmtId="168" fontId="0" fillId="0" borderId="28" xfId="0" applyNumberFormat="1" applyBorder="1" applyAlignment="1">
      <alignment vertical="center"/>
    </xf>
    <xf numFmtId="0" fontId="0" fillId="0" borderId="29" xfId="0" applyBorder="1" applyAlignment="1">
      <alignment horizontal="left" vertical="center"/>
    </xf>
    <xf numFmtId="164" fontId="0" fillId="0" borderId="29" xfId="1" applyNumberFormat="1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168" fontId="0" fillId="0" borderId="29" xfId="1" applyNumberFormat="1" applyFont="1" applyFill="1" applyBorder="1" applyAlignment="1">
      <alignment vertical="center"/>
    </xf>
    <xf numFmtId="168" fontId="0" fillId="0" borderId="29" xfId="0" applyNumberFormat="1" applyBorder="1" applyAlignment="1">
      <alignment vertical="center"/>
    </xf>
    <xf numFmtId="164" fontId="0" fillId="0" borderId="29" xfId="0" applyNumberFormat="1" applyBorder="1" applyAlignment="1">
      <alignment vertical="center"/>
    </xf>
    <xf numFmtId="168" fontId="0" fillId="0" borderId="13" xfId="0" applyNumberFormat="1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164" fontId="0" fillId="0" borderId="17" xfId="1" applyNumberFormat="1" applyFont="1" applyBorder="1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19" xfId="0" applyBorder="1" applyAlignment="1">
      <alignment vertical="center"/>
    </xf>
    <xf numFmtId="164" fontId="0" fillId="0" borderId="23" xfId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68" fontId="0" fillId="0" borderId="1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8" fontId="0" fillId="0" borderId="1" xfId="0" applyNumberFormat="1" applyBorder="1" applyAlignment="1">
      <alignment vertical="center"/>
    </xf>
    <xf numFmtId="43" fontId="0" fillId="0" borderId="1" xfId="1" applyFont="1" applyBorder="1" applyAlignment="1">
      <alignment vertical="center"/>
    </xf>
    <xf numFmtId="0" fontId="0" fillId="0" borderId="30" xfId="0" applyBorder="1" applyAlignment="1">
      <alignment vertical="center"/>
    </xf>
    <xf numFmtId="169" fontId="0" fillId="0" borderId="31" xfId="0" applyNumberFormat="1" applyBorder="1" applyAlignment="1">
      <alignment vertical="center"/>
    </xf>
    <xf numFmtId="170" fontId="0" fillId="0" borderId="31" xfId="0" applyNumberFormat="1" applyBorder="1" applyAlignment="1">
      <alignment vertical="center"/>
    </xf>
    <xf numFmtId="170" fontId="0" fillId="0" borderId="32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71" fontId="0" fillId="0" borderId="0" xfId="0" applyNumberForma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2" fontId="0" fillId="0" borderId="0" xfId="2" applyNumberFormat="1" applyFont="1" applyFill="1" applyBorder="1" applyAlignment="1">
      <alignment vertical="center"/>
    </xf>
    <xf numFmtId="172" fontId="0" fillId="0" borderId="0" xfId="2" applyNumberFormat="1" applyFont="1" applyBorder="1" applyAlignment="1">
      <alignment vertical="center"/>
    </xf>
    <xf numFmtId="9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9" fontId="0" fillId="0" borderId="17" xfId="2" applyFont="1" applyBorder="1" applyAlignment="1">
      <alignment horizontal="center" vertical="center"/>
    </xf>
    <xf numFmtId="9" fontId="0" fillId="0" borderId="23" xfId="2" applyFont="1" applyBorder="1" applyAlignment="1">
      <alignment horizontal="center" vertical="center"/>
    </xf>
    <xf numFmtId="9" fontId="0" fillId="0" borderId="20" xfId="2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9" fontId="0" fillId="0" borderId="0" xfId="2" applyFont="1" applyAlignment="1">
      <alignment horizontal="left" vertical="center"/>
    </xf>
    <xf numFmtId="0" fontId="6" fillId="0" borderId="33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30" xfId="0" applyBorder="1" applyAlignment="1">
      <alignment horizontal="right" vertical="center"/>
    </xf>
    <xf numFmtId="172" fontId="0" fillId="0" borderId="0" xfId="2" applyNumberFormat="1" applyFont="1" applyAlignment="1">
      <alignment vertical="center"/>
    </xf>
    <xf numFmtId="164" fontId="0" fillId="0" borderId="0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9" fontId="6" fillId="13" borderId="25" xfId="0" applyNumberFormat="1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0" fillId="0" borderId="23" xfId="2" applyNumberFormat="1" applyFont="1" applyBorder="1" applyAlignment="1">
      <alignment horizontal="center" vertical="center"/>
    </xf>
    <xf numFmtId="0" fontId="0" fillId="0" borderId="33" xfId="0" applyBorder="1" applyAlignment="1">
      <alignment vertical="center"/>
    </xf>
    <xf numFmtId="169" fontId="0" fillId="0" borderId="34" xfId="0" applyNumberFormat="1" applyBorder="1" applyAlignment="1">
      <alignment vertical="center"/>
    </xf>
    <xf numFmtId="169" fontId="0" fillId="0" borderId="35" xfId="0" applyNumberFormat="1" applyBorder="1" applyAlignment="1">
      <alignment vertical="center"/>
    </xf>
    <xf numFmtId="9" fontId="8" fillId="0" borderId="25" xfId="0" applyNumberFormat="1" applyFont="1" applyBorder="1" applyAlignment="1">
      <alignment horizontal="right" vertical="center"/>
    </xf>
    <xf numFmtId="0" fontId="8" fillId="0" borderId="25" xfId="0" applyFont="1" applyBorder="1" applyAlignment="1">
      <alignment vertical="center"/>
    </xf>
    <xf numFmtId="172" fontId="0" fillId="0" borderId="36" xfId="0" applyNumberFormat="1" applyBorder="1" applyAlignment="1">
      <alignment vertical="center"/>
    </xf>
    <xf numFmtId="169" fontId="0" fillId="0" borderId="25" xfId="0" quotePrefix="1" applyNumberFormat="1" applyBorder="1" applyAlignment="1">
      <alignment vertical="center"/>
    </xf>
    <xf numFmtId="169" fontId="0" fillId="0" borderId="37" xfId="0" applyNumberFormat="1" applyBorder="1" applyAlignment="1">
      <alignment vertical="center"/>
    </xf>
    <xf numFmtId="0" fontId="8" fillId="0" borderId="37" xfId="0" applyFont="1" applyBorder="1" applyAlignment="1">
      <alignment vertical="center"/>
    </xf>
    <xf numFmtId="169" fontId="0" fillId="0" borderId="25" xfId="0" applyNumberFormat="1" applyBorder="1" applyAlignment="1">
      <alignment vertical="center"/>
    </xf>
    <xf numFmtId="172" fontId="0" fillId="0" borderId="33" xfId="0" applyNumberFormat="1" applyBorder="1" applyAlignment="1">
      <alignment vertical="center"/>
    </xf>
    <xf numFmtId="9" fontId="9" fillId="0" borderId="25" xfId="0" applyNumberFormat="1" applyFont="1" applyBorder="1" applyAlignment="1">
      <alignment vertical="center"/>
    </xf>
    <xf numFmtId="0" fontId="0" fillId="14" borderId="8" xfId="0" applyFill="1" applyBorder="1" applyAlignment="1">
      <alignment vertical="center"/>
    </xf>
    <xf numFmtId="0" fontId="0" fillId="14" borderId="9" xfId="0" applyFill="1" applyBorder="1" applyAlignment="1">
      <alignment vertical="center"/>
    </xf>
    <xf numFmtId="0" fontId="0" fillId="14" borderId="10" xfId="0" applyFill="1" applyBorder="1" applyAlignment="1">
      <alignment vertical="center"/>
    </xf>
    <xf numFmtId="169" fontId="0" fillId="14" borderId="9" xfId="0" applyNumberFormat="1" applyFill="1" applyBorder="1" applyAlignment="1">
      <alignment vertical="center"/>
    </xf>
    <xf numFmtId="169" fontId="0" fillId="14" borderId="10" xfId="0" applyNumberFormat="1" applyFill="1" applyBorder="1" applyAlignment="1">
      <alignment vertical="center"/>
    </xf>
    <xf numFmtId="169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69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172" fontId="0" fillId="0" borderId="0" xfId="0" applyNumberFormat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164" fontId="0" fillId="0" borderId="44" xfId="0" applyNumberFormat="1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0" borderId="1" xfId="0" applyNumberFormat="1" applyBorder="1" applyAlignment="1">
      <alignment horizontal="right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B21F-8282-46E5-8F2E-A6CEE9EBAB2C}">
  <sheetPr>
    <tabColor rgb="FFFFC000"/>
  </sheetPr>
  <dimension ref="B1:AD199"/>
  <sheetViews>
    <sheetView showGridLines="0" tabSelected="1" zoomScale="110" zoomScaleNormal="110" workbookViewId="0">
      <selection activeCell="D16" sqref="D16"/>
    </sheetView>
  </sheetViews>
  <sheetFormatPr defaultColWidth="8.7109375" defaultRowHeight="15" outlineLevelRow="1" x14ac:dyDescent="0.25"/>
  <cols>
    <col min="1" max="1" width="5.140625" style="58" customWidth="1"/>
    <col min="2" max="2" width="7.5703125" style="58" customWidth="1"/>
    <col min="3" max="3" width="31.140625" style="58" customWidth="1"/>
    <col min="4" max="4" width="12.7109375" style="58" customWidth="1"/>
    <col min="5" max="5" width="15.28515625" style="58" customWidth="1"/>
    <col min="6" max="6" width="16.140625" style="58" bestFit="1" customWidth="1"/>
    <col min="7" max="10" width="15.140625" style="58" customWidth="1"/>
    <col min="11" max="12" width="16.42578125" style="58" bestFit="1" customWidth="1"/>
    <col min="13" max="13" width="16.5703125" style="58" bestFit="1" customWidth="1"/>
    <col min="14" max="14" width="15.140625" style="58" customWidth="1"/>
    <col min="15" max="15" width="15.140625" style="58" bestFit="1" customWidth="1"/>
    <col min="16" max="16" width="13.5703125" style="58" customWidth="1"/>
    <col min="17" max="17" width="9.5703125" style="58" bestFit="1" customWidth="1"/>
    <col min="18" max="18" width="10.5703125" style="58" bestFit="1" customWidth="1"/>
    <col min="19" max="19" width="13.140625" style="58" customWidth="1"/>
    <col min="20" max="20" width="15.140625" style="58" customWidth="1"/>
    <col min="21" max="21" width="15.42578125" style="58" bestFit="1" customWidth="1"/>
    <col min="22" max="22" width="13" style="58" bestFit="1" customWidth="1"/>
    <col min="23" max="23" width="17.85546875" style="58" bestFit="1" customWidth="1"/>
    <col min="24" max="25" width="14.5703125" style="58" bestFit="1" customWidth="1"/>
    <col min="26" max="26" width="19" style="58" bestFit="1" customWidth="1"/>
    <col min="27" max="27" width="21.7109375" style="58" bestFit="1" customWidth="1"/>
    <col min="28" max="28" width="13" style="58" customWidth="1"/>
    <col min="29" max="29" width="21.7109375" style="58" bestFit="1" customWidth="1"/>
    <col min="30" max="30" width="21.85546875" style="58" bestFit="1" customWidth="1"/>
    <col min="31" max="16384" width="8.7109375" style="58"/>
  </cols>
  <sheetData>
    <row r="1" spans="2:22" ht="15.75" thickBot="1" x14ac:dyDescent="0.3"/>
    <row r="2" spans="2:22" x14ac:dyDescent="0.25">
      <c r="B2" s="215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7"/>
    </row>
    <row r="3" spans="2:22" x14ac:dyDescent="0.25">
      <c r="B3" s="218"/>
      <c r="O3" s="219"/>
    </row>
    <row r="4" spans="2:22" x14ac:dyDescent="0.25">
      <c r="B4" s="218"/>
      <c r="E4" s="224" t="s">
        <v>11</v>
      </c>
      <c r="F4" s="225"/>
      <c r="G4" s="224" t="s">
        <v>102</v>
      </c>
      <c r="H4" s="225"/>
      <c r="I4" s="226" t="s">
        <v>84</v>
      </c>
      <c r="J4" s="226"/>
      <c r="K4" s="227" t="s">
        <v>33</v>
      </c>
      <c r="L4" s="227"/>
      <c r="M4" s="228" t="s">
        <v>34</v>
      </c>
      <c r="N4" s="228"/>
      <c r="O4" s="219"/>
    </row>
    <row r="5" spans="2:22" ht="15.75" thickBot="1" x14ac:dyDescent="0.3">
      <c r="B5" s="218"/>
      <c r="E5" s="76" t="s">
        <v>10</v>
      </c>
      <c r="F5" s="76" t="s">
        <v>9</v>
      </c>
      <c r="G5" s="76" t="s">
        <v>13</v>
      </c>
      <c r="H5" s="76" t="s">
        <v>14</v>
      </c>
      <c r="I5" s="77" t="s">
        <v>68</v>
      </c>
      <c r="J5" s="77" t="s">
        <v>69</v>
      </c>
      <c r="K5" s="78" t="s">
        <v>72</v>
      </c>
      <c r="L5" s="78" t="s">
        <v>83</v>
      </c>
      <c r="M5" s="79" t="s">
        <v>70</v>
      </c>
      <c r="N5" s="79" t="s">
        <v>71</v>
      </c>
      <c r="O5" s="219"/>
      <c r="T5" s="58" t="s">
        <v>63</v>
      </c>
    </row>
    <row r="6" spans="2:22" ht="15.75" hidden="1" outlineLevel="1" thickBot="1" x14ac:dyDescent="0.3">
      <c r="B6" s="218"/>
      <c r="C6" s="114" t="s">
        <v>66</v>
      </c>
      <c r="E6" s="113">
        <f t="shared" ref="E6:N6" si="0">SUM(E51:E54)+SUM(E78:E81)+SUM(E105:E110)+SUM(E137:E140)+SUM(E164:E167)</f>
        <v>1493962</v>
      </c>
      <c r="F6" s="113">
        <f t="shared" si="0"/>
        <v>5026836</v>
      </c>
      <c r="G6" s="113">
        <f t="shared" si="0"/>
        <v>776616</v>
      </c>
      <c r="H6" s="113">
        <f t="shared" si="0"/>
        <v>1981974.6</v>
      </c>
      <c r="I6" s="210">
        <f t="shared" si="0"/>
        <v>79.264583999999999</v>
      </c>
      <c r="J6" s="210">
        <f t="shared" si="0"/>
        <v>33.103087200000004</v>
      </c>
      <c r="K6" s="211">
        <f t="shared" si="0"/>
        <v>24749730.599999998</v>
      </c>
      <c r="L6" s="211">
        <f t="shared" si="0"/>
        <v>9655067.0999999996</v>
      </c>
      <c r="M6" s="211">
        <f t="shared" si="0"/>
        <v>14531840.400000002</v>
      </c>
      <c r="N6" s="211">
        <f t="shared" si="0"/>
        <v>6068899.3200000003</v>
      </c>
      <c r="O6" s="219"/>
      <c r="T6" s="72" t="s">
        <v>64</v>
      </c>
      <c r="U6" s="58">
        <v>2.5</v>
      </c>
    </row>
    <row r="7" spans="2:22" ht="15.75" hidden="1" outlineLevel="1" thickBot="1" x14ac:dyDescent="0.3">
      <c r="B7" s="218"/>
      <c r="C7" s="114" t="s">
        <v>73</v>
      </c>
      <c r="E7" s="113">
        <f>+SUM(E191:E192)+SUM(E198:E199)</f>
        <v>795</v>
      </c>
      <c r="F7" s="113">
        <f>+SUM(F191:F192)+SUM(F198:F199)</f>
        <v>795</v>
      </c>
      <c r="G7" s="113">
        <f t="shared" ref="G7:H7" si="1">+SUM(G191:G192)+SUM(G198:G199)</f>
        <v>234870</v>
      </c>
      <c r="H7" s="113">
        <f t="shared" si="1"/>
        <v>587175</v>
      </c>
      <c r="I7" s="210">
        <f>+I199</f>
        <v>1.908E-2</v>
      </c>
      <c r="J7" s="210">
        <f>+J192</f>
        <v>9.8645399999999999</v>
      </c>
      <c r="K7" s="211">
        <f>+K192+K199</f>
        <v>498792</v>
      </c>
      <c r="L7" s="211">
        <f>+L192+L199</f>
        <v>2877157.5</v>
      </c>
      <c r="M7" s="211">
        <f>+M192+M199</f>
        <v>3498.0000000000005</v>
      </c>
      <c r="N7" s="211">
        <f>+N192+N199</f>
        <v>1808499.0000000002</v>
      </c>
      <c r="O7" s="219"/>
      <c r="T7" s="72" t="s">
        <v>65</v>
      </c>
      <c r="U7" s="58">
        <v>2.8</v>
      </c>
    </row>
    <row r="8" spans="2:22" ht="15.75" collapsed="1" thickBot="1" x14ac:dyDescent="0.3">
      <c r="B8" s="218"/>
      <c r="C8" s="158" t="s">
        <v>103</v>
      </c>
      <c r="D8" s="160"/>
      <c r="E8" s="160">
        <f>SUM(E6:E7)</f>
        <v>1494757</v>
      </c>
      <c r="F8" s="160">
        <f>SUM(F6:F7)</f>
        <v>5027631</v>
      </c>
      <c r="G8" s="160">
        <f t="shared" ref="G8:N8" si="2">SUM(G6:G7)</f>
        <v>1011486</v>
      </c>
      <c r="H8" s="160">
        <f t="shared" si="2"/>
        <v>2569149.6</v>
      </c>
      <c r="I8" s="159">
        <f t="shared" si="2"/>
        <v>79.283664000000002</v>
      </c>
      <c r="J8" s="159">
        <f t="shared" si="2"/>
        <v>42.967627200000003</v>
      </c>
      <c r="K8" s="160">
        <f t="shared" si="2"/>
        <v>25248522.599999998</v>
      </c>
      <c r="L8" s="160">
        <f t="shared" si="2"/>
        <v>12532224.6</v>
      </c>
      <c r="M8" s="160">
        <f t="shared" si="2"/>
        <v>14535338.400000002</v>
      </c>
      <c r="N8" s="161">
        <f t="shared" si="2"/>
        <v>7877398.3200000003</v>
      </c>
      <c r="O8" s="219"/>
      <c r="T8" s="58" t="s">
        <v>62</v>
      </c>
    </row>
    <row r="9" spans="2:22" x14ac:dyDescent="0.25">
      <c r="B9" s="218"/>
      <c r="E9" s="113"/>
      <c r="F9" s="113"/>
      <c r="G9" s="113"/>
      <c r="H9" s="113"/>
      <c r="I9" s="212"/>
      <c r="J9" s="212"/>
      <c r="K9" s="213"/>
      <c r="L9" s="213"/>
      <c r="M9" s="213"/>
      <c r="N9" s="213"/>
      <c r="O9" s="219"/>
      <c r="T9" s="72" t="s">
        <v>55</v>
      </c>
      <c r="U9" s="58">
        <v>1.2E-5</v>
      </c>
      <c r="V9" s="58" t="s">
        <v>61</v>
      </c>
    </row>
    <row r="10" spans="2:22" x14ac:dyDescent="0.25">
      <c r="B10" s="218"/>
      <c r="I10" s="115" t="s">
        <v>86</v>
      </c>
      <c r="J10" s="116">
        <f>J8/V22</f>
        <v>0.3513297399836468</v>
      </c>
      <c r="K10" s="148"/>
      <c r="L10" s="148">
        <f>+L8/Z22</f>
        <v>0.35146972091857953</v>
      </c>
      <c r="M10" s="148"/>
      <c r="N10" s="148">
        <f>+N8/AD22</f>
        <v>0.35148127431733001</v>
      </c>
      <c r="O10" s="219"/>
      <c r="T10" s="72" t="s">
        <v>60</v>
      </c>
      <c r="U10" s="58">
        <v>2.2000000000000002</v>
      </c>
      <c r="V10" s="58" t="s">
        <v>58</v>
      </c>
    </row>
    <row r="11" spans="2:22" x14ac:dyDescent="0.25">
      <c r="B11" s="218"/>
      <c r="I11" s="115"/>
      <c r="J11" s="116"/>
      <c r="K11" s="148"/>
      <c r="L11" s="148"/>
      <c r="M11" s="148"/>
      <c r="N11" s="148"/>
      <c r="O11" s="219"/>
      <c r="T11" s="72" t="s">
        <v>56</v>
      </c>
      <c r="U11" s="58">
        <v>3.5</v>
      </c>
      <c r="V11" s="58" t="s">
        <v>59</v>
      </c>
    </row>
    <row r="12" spans="2:22" x14ac:dyDescent="0.25">
      <c r="B12" s="218"/>
      <c r="I12" s="212"/>
      <c r="J12" s="212"/>
      <c r="K12" s="213"/>
      <c r="L12" s="213"/>
      <c r="M12" s="213"/>
      <c r="N12" s="213"/>
      <c r="O12" s="219"/>
      <c r="T12" s="72" t="s">
        <v>57</v>
      </c>
      <c r="U12" s="58">
        <v>2.1</v>
      </c>
      <c r="V12" s="58" t="s">
        <v>59</v>
      </c>
    </row>
    <row r="13" spans="2:22" x14ac:dyDescent="0.25">
      <c r="B13" s="218"/>
      <c r="C13" s="205" t="s">
        <v>87</v>
      </c>
      <c r="D13" s="205" t="s">
        <v>88</v>
      </c>
      <c r="E13" s="206"/>
      <c r="F13" s="206"/>
      <c r="G13" s="207"/>
      <c r="H13" s="205" t="s">
        <v>96</v>
      </c>
      <c r="I13" s="208"/>
      <c r="J13" s="209"/>
      <c r="K13" s="213"/>
      <c r="L13" s="213"/>
      <c r="M13" s="213"/>
      <c r="N13" s="213"/>
      <c r="O13" s="219"/>
    </row>
    <row r="14" spans="2:22" x14ac:dyDescent="0.25">
      <c r="B14" s="218"/>
      <c r="C14" s="172"/>
      <c r="D14" s="172"/>
      <c r="E14" s="172"/>
      <c r="F14" s="172"/>
      <c r="G14" s="172"/>
      <c r="I14" s="212"/>
      <c r="J14" s="212"/>
      <c r="K14" s="213"/>
      <c r="L14" s="213"/>
      <c r="M14" s="213"/>
      <c r="N14" s="213"/>
      <c r="O14" s="219"/>
    </row>
    <row r="15" spans="2:22" x14ac:dyDescent="0.25">
      <c r="B15" s="218"/>
      <c r="C15" s="179" t="str">
        <f>+C47</f>
        <v>BILLING</v>
      </c>
      <c r="D15" s="180" t="s">
        <v>51</v>
      </c>
      <c r="E15" s="180"/>
      <c r="F15" s="180"/>
      <c r="G15" s="181"/>
      <c r="H15" s="193"/>
      <c r="I15" s="194"/>
      <c r="J15" s="195"/>
      <c r="K15" s="213"/>
      <c r="L15" s="213"/>
      <c r="M15" s="213"/>
      <c r="N15" s="213"/>
      <c r="O15" s="219"/>
    </row>
    <row r="16" spans="2:22" x14ac:dyDescent="0.25">
      <c r="B16" s="218"/>
      <c r="C16" s="182"/>
      <c r="D16" s="190">
        <v>0.1</v>
      </c>
      <c r="E16" s="196">
        <f>+D56</f>
        <v>0.64064593891600907</v>
      </c>
      <c r="F16" s="197" t="s">
        <v>99</v>
      </c>
      <c r="G16" s="183"/>
      <c r="H16" s="198">
        <f>+I59</f>
        <v>0.69615899688995209</v>
      </c>
      <c r="I16" s="199" t="s">
        <v>97</v>
      </c>
      <c r="J16" s="200"/>
      <c r="K16" s="213"/>
      <c r="L16" s="213"/>
      <c r="M16" s="213"/>
      <c r="N16" s="213"/>
      <c r="O16" s="219"/>
    </row>
    <row r="17" spans="2:30" x14ac:dyDescent="0.25">
      <c r="B17" s="218"/>
      <c r="C17" s="172"/>
      <c r="D17" s="172"/>
      <c r="E17" s="172"/>
      <c r="F17" s="172"/>
      <c r="G17" s="172"/>
      <c r="I17" s="212"/>
      <c r="J17" s="212"/>
      <c r="K17" s="213"/>
      <c r="L17" s="213"/>
      <c r="M17" s="213"/>
      <c r="N17" s="213"/>
      <c r="O17" s="219"/>
    </row>
    <row r="18" spans="2:30" x14ac:dyDescent="0.25">
      <c r="B18" s="218"/>
      <c r="C18" s="179" t="str">
        <f>+C74</f>
        <v>CREDITO</v>
      </c>
      <c r="D18" s="180" t="s">
        <v>52</v>
      </c>
      <c r="E18" s="180"/>
      <c r="F18" s="180"/>
      <c r="G18" s="181"/>
      <c r="H18" s="193"/>
      <c r="I18" s="194"/>
      <c r="J18" s="195"/>
      <c r="K18" s="213"/>
      <c r="L18" s="213"/>
      <c r="M18" s="213"/>
      <c r="N18" s="213"/>
      <c r="O18" s="219"/>
    </row>
    <row r="19" spans="2:30" x14ac:dyDescent="0.25">
      <c r="B19" s="218"/>
      <c r="C19" s="182"/>
      <c r="D19" s="190">
        <v>0.4</v>
      </c>
      <c r="E19" s="196">
        <f>+D83</f>
        <v>1</v>
      </c>
      <c r="F19" s="197" t="s">
        <v>99</v>
      </c>
      <c r="G19" s="201"/>
      <c r="H19" s="198">
        <f>+(I79+I81)/I8</f>
        <v>4.2369938906960711E-2</v>
      </c>
      <c r="I19" s="202"/>
      <c r="J19" s="200"/>
      <c r="K19" s="213"/>
      <c r="L19" s="213"/>
      <c r="M19" s="213"/>
      <c r="N19" s="213"/>
      <c r="O19" s="219"/>
      <c r="U19" s="74" t="s">
        <v>74</v>
      </c>
      <c r="V19" s="74" t="s">
        <v>75</v>
      </c>
      <c r="Y19" s="74" t="s">
        <v>79</v>
      </c>
      <c r="Z19" s="74" t="s">
        <v>82</v>
      </c>
      <c r="AC19" s="74" t="s">
        <v>80</v>
      </c>
      <c r="AD19" s="74" t="s">
        <v>81</v>
      </c>
    </row>
    <row r="20" spans="2:30" x14ac:dyDescent="0.25">
      <c r="B20" s="218"/>
      <c r="C20" s="172"/>
      <c r="D20" s="172"/>
      <c r="E20" s="172"/>
      <c r="F20" s="172"/>
      <c r="G20" s="172"/>
      <c r="H20" s="214"/>
      <c r="I20" s="212"/>
      <c r="J20" s="212"/>
      <c r="K20" s="213"/>
      <c r="L20" s="213"/>
      <c r="M20" s="213"/>
      <c r="N20" s="213"/>
      <c r="O20" s="219"/>
      <c r="T20" s="114" t="s">
        <v>76</v>
      </c>
      <c r="U20" s="163">
        <v>122.3</v>
      </c>
      <c r="V20" s="164">
        <v>0</v>
      </c>
      <c r="X20" s="114" t="s">
        <v>76</v>
      </c>
      <c r="Y20" s="59">
        <f>35656626.6</f>
        <v>35656626.600000001</v>
      </c>
      <c r="Z20">
        <v>0</v>
      </c>
      <c r="AB20" s="114" t="s">
        <v>76</v>
      </c>
      <c r="AC20" s="165">
        <f>22412*1000</f>
        <v>22412000</v>
      </c>
      <c r="AD20" s="165">
        <v>0</v>
      </c>
    </row>
    <row r="21" spans="2:30" x14ac:dyDescent="0.25">
      <c r="B21" s="218"/>
      <c r="C21" s="179" t="str">
        <f>+C101</f>
        <v>BACKOFFICE</v>
      </c>
      <c r="D21" s="180" t="s">
        <v>51</v>
      </c>
      <c r="E21" s="180"/>
      <c r="F21" s="180"/>
      <c r="G21" s="181"/>
      <c r="H21" s="203"/>
      <c r="I21" s="194"/>
      <c r="J21" s="195"/>
      <c r="K21" s="213"/>
      <c r="L21" s="213"/>
      <c r="M21" s="213"/>
      <c r="N21" s="213"/>
      <c r="O21" s="219"/>
      <c r="T21" s="114" t="s">
        <v>77</v>
      </c>
      <c r="U21" s="163">
        <f>+I8</f>
        <v>79.283664000000002</v>
      </c>
      <c r="V21" s="163">
        <f>+J8</f>
        <v>42.967627200000003</v>
      </c>
      <c r="X21" s="114" t="s">
        <v>77</v>
      </c>
      <c r="Y21" s="14">
        <f>+K8</f>
        <v>25248522.599999998</v>
      </c>
      <c r="Z21" s="14">
        <f>+L8</f>
        <v>12532224.6</v>
      </c>
      <c r="AB21" s="114" t="s">
        <v>77</v>
      </c>
      <c r="AC21" s="165">
        <f>+M8</f>
        <v>14535338.400000002</v>
      </c>
      <c r="AD21" s="165">
        <f>+N8</f>
        <v>7877398.3200000003</v>
      </c>
    </row>
    <row r="22" spans="2:30" x14ac:dyDescent="0.25">
      <c r="B22" s="218"/>
      <c r="C22" s="182"/>
      <c r="D22" s="190">
        <v>0.2</v>
      </c>
      <c r="E22" s="204">
        <f>+D112</f>
        <v>0.43171440256690263</v>
      </c>
      <c r="F22" s="197" t="s">
        <v>99</v>
      </c>
      <c r="G22" s="183"/>
      <c r="H22" s="198">
        <f>+SUM(I105:I110)/I8</f>
        <v>7.9808269204107427E-2</v>
      </c>
      <c r="I22" s="202"/>
      <c r="J22" s="200"/>
      <c r="K22" s="213"/>
      <c r="L22" s="213"/>
      <c r="M22" s="213"/>
      <c r="N22" s="213"/>
      <c r="O22" s="219"/>
      <c r="T22" s="114" t="s">
        <v>78</v>
      </c>
      <c r="U22" s="164">
        <v>0</v>
      </c>
      <c r="V22" s="163">
        <v>122.3</v>
      </c>
      <c r="X22" s="114" t="s">
        <v>78</v>
      </c>
      <c r="Y22" s="14">
        <f>5100736.2</f>
        <v>5100736.2</v>
      </c>
      <c r="Z22" s="14">
        <f>35656626.6</f>
        <v>35656626.600000001</v>
      </c>
      <c r="AB22" s="114" t="s">
        <v>78</v>
      </c>
      <c r="AC22" s="165">
        <v>0</v>
      </c>
      <c r="AD22" s="165">
        <f>22412*1000</f>
        <v>22412000</v>
      </c>
    </row>
    <row r="23" spans="2:30" x14ac:dyDescent="0.25">
      <c r="B23" s="218"/>
      <c r="H23" s="214"/>
      <c r="I23" s="212"/>
      <c r="J23" s="212"/>
      <c r="K23" s="213"/>
      <c r="L23" s="213"/>
      <c r="M23" s="213"/>
      <c r="N23" s="213"/>
      <c r="O23" s="219"/>
      <c r="X23" s="114"/>
      <c r="Y23" s="114"/>
      <c r="Z23" s="113"/>
    </row>
    <row r="24" spans="2:30" x14ac:dyDescent="0.25">
      <c r="B24" s="218"/>
      <c r="C24" s="179" t="str">
        <f>+C133</f>
        <v>BILLING - LERETI</v>
      </c>
      <c r="D24" s="180" t="s">
        <v>51</v>
      </c>
      <c r="E24" s="180"/>
      <c r="F24" s="180"/>
      <c r="G24" s="181"/>
      <c r="H24" s="203"/>
      <c r="I24" s="194"/>
      <c r="J24" s="195"/>
      <c r="K24" s="213"/>
      <c r="L24" s="213"/>
      <c r="M24" s="213"/>
      <c r="N24" s="213"/>
      <c r="O24" s="219"/>
      <c r="T24" s="114" t="s">
        <v>76</v>
      </c>
      <c r="U24" s="162">
        <v>1</v>
      </c>
      <c r="V24" s="162">
        <v>0</v>
      </c>
      <c r="X24" s="114" t="s">
        <v>76</v>
      </c>
      <c r="Y24" s="162">
        <v>1</v>
      </c>
      <c r="Z24" s="162">
        <v>0</v>
      </c>
      <c r="AB24" s="114" t="s">
        <v>76</v>
      </c>
      <c r="AC24" s="162">
        <v>1</v>
      </c>
      <c r="AD24" s="162">
        <v>0</v>
      </c>
    </row>
    <row r="25" spans="2:30" x14ac:dyDescent="0.25">
      <c r="B25" s="218"/>
      <c r="C25" s="182"/>
      <c r="D25" s="190">
        <v>0.1</v>
      </c>
      <c r="E25" s="204">
        <f>+D142</f>
        <v>0.88209309526266899</v>
      </c>
      <c r="F25" s="197" t="s">
        <v>99</v>
      </c>
      <c r="G25" s="183"/>
      <c r="H25" s="198">
        <f>+I140/I8</f>
        <v>0.16490958339160511</v>
      </c>
      <c r="I25" s="199" t="s">
        <v>97</v>
      </c>
      <c r="J25" s="200"/>
      <c r="K25" s="213"/>
      <c r="L25" s="213"/>
      <c r="M25" s="213"/>
      <c r="N25" s="213"/>
      <c r="O25" s="219"/>
      <c r="T25" s="114" t="s">
        <v>85</v>
      </c>
      <c r="U25" s="162"/>
      <c r="V25" s="162">
        <f>+V21/V22</f>
        <v>0.3513297399836468</v>
      </c>
      <c r="X25" s="114" t="s">
        <v>85</v>
      </c>
      <c r="Y25" s="162"/>
      <c r="Z25" s="162">
        <f>+Z21/Z22</f>
        <v>0.35146972091857953</v>
      </c>
      <c r="AB25" s="114" t="s">
        <v>85</v>
      </c>
      <c r="AC25" s="162"/>
      <c r="AD25" s="162">
        <f>+AD21/AD22</f>
        <v>0.35148127431733001</v>
      </c>
    </row>
    <row r="26" spans="2:30" x14ac:dyDescent="0.25">
      <c r="B26" s="218"/>
      <c r="H26" s="214"/>
      <c r="I26" s="212"/>
      <c r="J26" s="212"/>
      <c r="K26" s="213"/>
      <c r="L26" s="213"/>
      <c r="M26" s="213"/>
      <c r="N26" s="213"/>
      <c r="O26" s="219"/>
      <c r="T26" s="114" t="s">
        <v>78</v>
      </c>
      <c r="U26" s="162">
        <v>0</v>
      </c>
      <c r="V26" s="162">
        <v>1</v>
      </c>
      <c r="X26" s="114" t="s">
        <v>78</v>
      </c>
      <c r="Y26" s="162"/>
      <c r="Z26" s="162"/>
      <c r="AB26" s="114" t="s">
        <v>78</v>
      </c>
      <c r="AC26" s="162">
        <v>0</v>
      </c>
      <c r="AD26" s="162">
        <v>1</v>
      </c>
    </row>
    <row r="27" spans="2:30" x14ac:dyDescent="0.25">
      <c r="B27" s="218"/>
      <c r="C27" s="179" t="str">
        <f>+C160</f>
        <v>CREDITO - LERETI</v>
      </c>
      <c r="D27" s="180" t="s">
        <v>52</v>
      </c>
      <c r="E27" s="180"/>
      <c r="F27" s="180"/>
      <c r="G27" s="181"/>
      <c r="H27" s="203"/>
      <c r="I27" s="194"/>
      <c r="J27" s="195"/>
      <c r="K27" s="213"/>
      <c r="L27" s="213"/>
      <c r="M27" s="213"/>
      <c r="N27" s="213"/>
      <c r="O27" s="219"/>
    </row>
    <row r="28" spans="2:30" x14ac:dyDescent="0.25">
      <c r="B28" s="218"/>
      <c r="C28" s="182"/>
      <c r="D28" s="190">
        <v>0.4</v>
      </c>
      <c r="E28" s="204">
        <f>+D169</f>
        <v>1</v>
      </c>
      <c r="F28" s="197" t="s">
        <v>99</v>
      </c>
      <c r="G28" s="183"/>
      <c r="H28" s="198">
        <f>+SUM(I164:I167)/I8</f>
        <v>1.6512556735521204E-2</v>
      </c>
      <c r="I28" s="202"/>
      <c r="J28" s="200"/>
      <c r="K28" s="213"/>
      <c r="L28" s="213"/>
      <c r="M28" s="213"/>
      <c r="N28" s="213"/>
      <c r="O28" s="219"/>
    </row>
    <row r="29" spans="2:30" x14ac:dyDescent="0.25">
      <c r="B29" s="218"/>
      <c r="I29" s="212"/>
      <c r="J29" s="212"/>
      <c r="K29" s="213"/>
      <c r="L29" s="213"/>
      <c r="M29" s="213"/>
      <c r="N29" s="213"/>
      <c r="O29" s="219"/>
    </row>
    <row r="30" spans="2:30" x14ac:dyDescent="0.25">
      <c r="B30" s="218"/>
      <c r="I30" s="212"/>
      <c r="J30" s="212"/>
      <c r="K30" s="213"/>
      <c r="L30" s="213"/>
      <c r="M30" s="213"/>
      <c r="N30" s="213"/>
      <c r="O30" s="219"/>
    </row>
    <row r="31" spans="2:30" x14ac:dyDescent="0.25">
      <c r="B31" s="218"/>
      <c r="I31" s="212"/>
      <c r="J31" s="212"/>
      <c r="K31" s="213"/>
      <c r="L31" s="213"/>
      <c r="M31" s="213"/>
      <c r="N31" s="213"/>
      <c r="O31" s="219"/>
    </row>
    <row r="32" spans="2:30" x14ac:dyDescent="0.25">
      <c r="B32" s="218"/>
      <c r="E32" s="224" t="s">
        <v>11</v>
      </c>
      <c r="F32" s="225"/>
      <c r="G32" s="224" t="s">
        <v>102</v>
      </c>
      <c r="H32" s="225"/>
      <c r="I32" s="226" t="s">
        <v>84</v>
      </c>
      <c r="J32" s="226"/>
      <c r="K32" s="227" t="s">
        <v>33</v>
      </c>
      <c r="L32" s="227"/>
      <c r="M32" s="228" t="s">
        <v>34</v>
      </c>
      <c r="N32" s="228"/>
      <c r="O32" s="219"/>
    </row>
    <row r="33" spans="2:15" x14ac:dyDescent="0.25">
      <c r="B33" s="218"/>
      <c r="E33" s="76" t="s">
        <v>10</v>
      </c>
      <c r="F33" s="76" t="s">
        <v>9</v>
      </c>
      <c r="G33" s="76" t="s">
        <v>13</v>
      </c>
      <c r="H33" s="76" t="s">
        <v>14</v>
      </c>
      <c r="I33" s="77" t="s">
        <v>68</v>
      </c>
      <c r="J33" s="77" t="s">
        <v>69</v>
      </c>
      <c r="K33" s="78" t="s">
        <v>72</v>
      </c>
      <c r="L33" s="78" t="s">
        <v>83</v>
      </c>
      <c r="M33" s="79" t="s">
        <v>70</v>
      </c>
      <c r="N33" s="79" t="s">
        <v>71</v>
      </c>
      <c r="O33" s="219"/>
    </row>
    <row r="34" spans="2:15" x14ac:dyDescent="0.25">
      <c r="B34" s="218"/>
      <c r="C34" s="114" t="s">
        <v>67</v>
      </c>
      <c r="E34" s="113">
        <f t="shared" ref="E34:N34" si="3">+SUM(E65:E66)+SUM(E92:E93)+SUM(E121:E123)+SUM(E151:E152)+SUM(E178:E179)</f>
        <v>1217814.2</v>
      </c>
      <c r="F34" s="113">
        <f t="shared" si="3"/>
        <v>4179774.1799999997</v>
      </c>
      <c r="G34" s="113">
        <f t="shared" si="3"/>
        <v>1052763.8</v>
      </c>
      <c r="H34" s="113">
        <f t="shared" si="3"/>
        <v>2829036.42</v>
      </c>
      <c r="I34" s="112">
        <f t="shared" si="3"/>
        <v>65.380089359999985</v>
      </c>
      <c r="J34" s="112">
        <f t="shared" si="3"/>
        <v>46.987581839999997</v>
      </c>
      <c r="K34" s="113">
        <f t="shared" si="3"/>
        <v>21351043.069999997</v>
      </c>
      <c r="L34" s="113">
        <f t="shared" si="3"/>
        <v>13704711.370000001</v>
      </c>
      <c r="M34" s="113">
        <f t="shared" si="3"/>
        <v>11986349.716</v>
      </c>
      <c r="N34" s="113">
        <f t="shared" si="3"/>
        <v>8614390.0040000007</v>
      </c>
      <c r="O34" s="219"/>
    </row>
    <row r="35" spans="2:15" ht="15.75" thickBot="1" x14ac:dyDescent="0.3">
      <c r="B35" s="218"/>
      <c r="C35" s="114" t="s">
        <v>73</v>
      </c>
      <c r="E35" s="113">
        <f>+SUM(E191:E192)+SUM(E198:E199)</f>
        <v>795</v>
      </c>
      <c r="F35" s="113">
        <f t="shared" ref="F35:H35" si="4">+SUM(F191:F192)+SUM(F198:F199)</f>
        <v>795</v>
      </c>
      <c r="G35" s="113">
        <f t="shared" si="4"/>
        <v>234870</v>
      </c>
      <c r="H35" s="113">
        <f t="shared" si="4"/>
        <v>587175</v>
      </c>
      <c r="I35" s="210">
        <f>+I7</f>
        <v>1.908E-2</v>
      </c>
      <c r="J35" s="210">
        <f t="shared" ref="J35:N35" si="5">+J7</f>
        <v>9.8645399999999999</v>
      </c>
      <c r="K35" s="211">
        <f t="shared" si="5"/>
        <v>498792</v>
      </c>
      <c r="L35" s="211">
        <f t="shared" si="5"/>
        <v>2877157.5</v>
      </c>
      <c r="M35" s="211">
        <f t="shared" si="5"/>
        <v>3498.0000000000005</v>
      </c>
      <c r="N35" s="211">
        <f t="shared" si="5"/>
        <v>1808499.0000000002</v>
      </c>
      <c r="O35" s="219"/>
    </row>
    <row r="36" spans="2:15" ht="15.75" thickBot="1" x14ac:dyDescent="0.3">
      <c r="B36" s="218"/>
      <c r="C36" s="186" t="s">
        <v>89</v>
      </c>
      <c r="D36" s="160"/>
      <c r="E36" s="159">
        <f t="shared" ref="E36:N36" si="6">SUM(E34:E35)</f>
        <v>1218609.2</v>
      </c>
      <c r="F36" s="159">
        <f t="shared" si="6"/>
        <v>4180569.1799999997</v>
      </c>
      <c r="G36" s="159">
        <f t="shared" si="6"/>
        <v>1287633.8</v>
      </c>
      <c r="H36" s="159">
        <f t="shared" si="6"/>
        <v>3416211.42</v>
      </c>
      <c r="I36" s="159">
        <f t="shared" si="6"/>
        <v>65.399169359999988</v>
      </c>
      <c r="J36" s="159">
        <f t="shared" si="6"/>
        <v>56.852121839999995</v>
      </c>
      <c r="K36" s="160">
        <f t="shared" si="6"/>
        <v>21849835.069999997</v>
      </c>
      <c r="L36" s="160">
        <f t="shared" si="6"/>
        <v>16581868.870000001</v>
      </c>
      <c r="M36" s="160">
        <f t="shared" si="6"/>
        <v>11989847.716</v>
      </c>
      <c r="N36" s="161">
        <f t="shared" si="6"/>
        <v>10422889.004000001</v>
      </c>
      <c r="O36" s="219"/>
    </row>
    <row r="37" spans="2:15" x14ac:dyDescent="0.25">
      <c r="B37" s="218"/>
      <c r="O37" s="219"/>
    </row>
    <row r="38" spans="2:15" x14ac:dyDescent="0.25">
      <c r="B38" s="218"/>
      <c r="I38" s="115" t="s">
        <v>86</v>
      </c>
      <c r="J38" s="168">
        <f>J36/V22</f>
        <v>0.46485790547833195</v>
      </c>
      <c r="K38" s="169"/>
      <c r="L38" s="168">
        <f>L36/Z22</f>
        <v>0.46504311964273143</v>
      </c>
      <c r="M38" s="169"/>
      <c r="N38" s="168">
        <f>N36/AD22</f>
        <v>0.46505840638943424</v>
      </c>
      <c r="O38" s="219"/>
    </row>
    <row r="39" spans="2:15" x14ac:dyDescent="0.25">
      <c r="B39" s="218"/>
      <c r="E39" s="113"/>
      <c r="O39" s="219"/>
    </row>
    <row r="40" spans="2:15" ht="15.75" thickBot="1" x14ac:dyDescent="0.3">
      <c r="B40" s="220"/>
      <c r="C40" s="221"/>
      <c r="D40" s="221"/>
      <c r="E40" s="222"/>
      <c r="F40" s="221"/>
      <c r="G40" s="221"/>
      <c r="H40" s="221"/>
      <c r="I40" s="221"/>
      <c r="J40" s="221"/>
      <c r="K40" s="221"/>
      <c r="L40" s="221"/>
      <c r="M40" s="221"/>
      <c r="N40" s="221"/>
      <c r="O40" s="223"/>
    </row>
    <row r="41" spans="2:15" x14ac:dyDescent="0.25">
      <c r="E41" s="113"/>
    </row>
    <row r="42" spans="2:15" x14ac:dyDescent="0.25">
      <c r="E42" s="113"/>
    </row>
    <row r="44" spans="2:15" x14ac:dyDescent="0.25">
      <c r="B44" s="53" t="s">
        <v>6</v>
      </c>
      <c r="C44" s="54"/>
      <c r="D44" s="54"/>
      <c r="E44" s="55"/>
      <c r="F44" s="55"/>
      <c r="G44" s="55"/>
      <c r="H44" s="55"/>
      <c r="I44" s="56"/>
      <c r="J44" s="56"/>
      <c r="K44" s="55"/>
      <c r="L44" s="55"/>
      <c r="M44" s="55"/>
      <c r="N44" s="55"/>
      <c r="O44" s="57"/>
    </row>
    <row r="45" spans="2:15" ht="15.75" thickBot="1" x14ac:dyDescent="0.3"/>
    <row r="46" spans="2:15" x14ac:dyDescent="0.25">
      <c r="B46" s="60"/>
      <c r="C46" s="61"/>
      <c r="D46" s="61"/>
      <c r="E46" s="62"/>
      <c r="F46" s="62"/>
      <c r="G46" s="62"/>
      <c r="H46" s="62"/>
      <c r="I46" s="63"/>
      <c r="J46" s="63"/>
      <c r="K46" s="62"/>
      <c r="L46" s="62"/>
      <c r="M46" s="62"/>
      <c r="N46" s="62"/>
      <c r="O46" s="64"/>
    </row>
    <row r="47" spans="2:15" x14ac:dyDescent="0.25">
      <c r="B47" s="65"/>
      <c r="C47" s="66" t="s">
        <v>8</v>
      </c>
      <c r="D47" s="67"/>
      <c r="E47" s="68"/>
      <c r="F47" s="68"/>
      <c r="G47" s="68"/>
      <c r="H47" s="68"/>
      <c r="I47" s="69"/>
      <c r="J47" s="69"/>
      <c r="K47" s="68"/>
      <c r="L47" s="68"/>
      <c r="M47" s="68"/>
      <c r="N47" s="70"/>
      <c r="O47" s="71"/>
    </row>
    <row r="48" spans="2:15" x14ac:dyDescent="0.25">
      <c r="B48" s="65"/>
      <c r="C48" s="73"/>
      <c r="D48" s="73"/>
      <c r="E48" s="73"/>
      <c r="F48" s="73"/>
      <c r="G48" s="73"/>
      <c r="H48" s="73"/>
      <c r="O48" s="71"/>
    </row>
    <row r="49" spans="2:15" x14ac:dyDescent="0.25">
      <c r="B49" s="65"/>
      <c r="C49" s="74" t="s">
        <v>44</v>
      </c>
      <c r="D49" s="75"/>
      <c r="E49" s="166" t="s">
        <v>11</v>
      </c>
      <c r="F49" s="167"/>
      <c r="G49" s="229" t="s">
        <v>12</v>
      </c>
      <c r="H49" s="229"/>
      <c r="I49" s="226" t="s">
        <v>84</v>
      </c>
      <c r="J49" s="226"/>
      <c r="K49" s="227" t="s">
        <v>33</v>
      </c>
      <c r="L49" s="227"/>
      <c r="M49" s="228" t="s">
        <v>34</v>
      </c>
      <c r="N49" s="228"/>
      <c r="O49" s="71"/>
    </row>
    <row r="50" spans="2:15" x14ac:dyDescent="0.25">
      <c r="B50" s="65"/>
      <c r="C50" s="74"/>
      <c r="D50" s="76" t="s">
        <v>45</v>
      </c>
      <c r="E50" s="76" t="s">
        <v>10</v>
      </c>
      <c r="F50" s="76" t="s">
        <v>9</v>
      </c>
      <c r="G50" s="76" t="s">
        <v>13</v>
      </c>
      <c r="H50" s="76" t="s">
        <v>14</v>
      </c>
      <c r="I50" s="77" t="s">
        <v>68</v>
      </c>
      <c r="J50" s="77" t="s">
        <v>69</v>
      </c>
      <c r="K50" s="78" t="s">
        <v>72</v>
      </c>
      <c r="L50" s="78" t="s">
        <v>83</v>
      </c>
      <c r="M50" s="79" t="s">
        <v>70</v>
      </c>
      <c r="N50" s="79" t="s">
        <v>71</v>
      </c>
      <c r="O50" s="71"/>
    </row>
    <row r="51" spans="2:15" x14ac:dyDescent="0.25">
      <c r="B51" s="65"/>
      <c r="C51" s="80" t="s">
        <v>1</v>
      </c>
      <c r="D51" s="184"/>
      <c r="E51" s="82"/>
      <c r="F51" s="82"/>
      <c r="G51" s="82"/>
      <c r="H51" s="82"/>
      <c r="I51" s="83"/>
      <c r="J51" s="83"/>
      <c r="K51" s="84"/>
      <c r="L51" s="84"/>
      <c r="M51" s="85"/>
      <c r="N51" s="86"/>
      <c r="O51" s="71"/>
    </row>
    <row r="52" spans="2:15" x14ac:dyDescent="0.25">
      <c r="B52" s="65"/>
      <c r="C52" s="87" t="s">
        <v>46</v>
      </c>
      <c r="D52" s="175"/>
      <c r="E52" s="88"/>
      <c r="F52" s="88"/>
      <c r="G52" s="89">
        <v>613274</v>
      </c>
      <c r="H52" s="90">
        <v>1533185</v>
      </c>
      <c r="I52" s="91"/>
      <c r="J52" s="92">
        <f>(G52+H52)*$U$9</f>
        <v>25.757508000000001</v>
      </c>
      <c r="K52" s="93">
        <f>(G52*$U$12)</f>
        <v>1287875.4000000001</v>
      </c>
      <c r="L52" s="94">
        <f>((H52+G52)*$U$11)</f>
        <v>7512606.5</v>
      </c>
      <c r="M52" s="95"/>
      <c r="N52" s="96">
        <f>((H52+G52)*$U$10)</f>
        <v>4722209.8000000007</v>
      </c>
      <c r="O52" s="71"/>
    </row>
    <row r="53" spans="2:15" x14ac:dyDescent="0.25">
      <c r="B53" s="65"/>
      <c r="C53" s="97" t="s">
        <v>0</v>
      </c>
      <c r="D53" s="185"/>
      <c r="E53" s="88"/>
      <c r="F53" s="88"/>
      <c r="G53" s="88"/>
      <c r="H53" s="99"/>
      <c r="I53" s="91"/>
      <c r="J53" s="91"/>
      <c r="K53" s="94"/>
      <c r="L53" s="94"/>
      <c r="M53" s="95"/>
      <c r="N53" s="96"/>
      <c r="O53" s="71"/>
    </row>
    <row r="54" spans="2:15" x14ac:dyDescent="0.25">
      <c r="B54" s="65"/>
      <c r="C54" s="100" t="s">
        <v>47</v>
      </c>
      <c r="D54" s="174"/>
      <c r="E54" s="101">
        <v>1093327</v>
      </c>
      <c r="F54" s="101">
        <v>3506176</v>
      </c>
      <c r="G54" s="102"/>
      <c r="H54" s="101"/>
      <c r="I54" s="103">
        <f>(F54+E54)*$U$9</f>
        <v>55.194036000000004</v>
      </c>
      <c r="J54" s="104"/>
      <c r="K54" s="105">
        <f>(F54+E54)*$U$11</f>
        <v>16098260.5</v>
      </c>
      <c r="L54" s="106"/>
      <c r="M54" s="107">
        <f>(F54+E54)*$U$10</f>
        <v>10118906.600000001</v>
      </c>
      <c r="N54" s="108"/>
      <c r="O54" s="109"/>
    </row>
    <row r="55" spans="2:15" x14ac:dyDescent="0.25">
      <c r="B55" s="65"/>
      <c r="C55" s="114" t="s">
        <v>101</v>
      </c>
      <c r="D55" s="191">
        <f>+G52/(E54+G52)</f>
        <v>0.35935406108399093</v>
      </c>
      <c r="E55" s="110"/>
      <c r="F55" s="110"/>
      <c r="H55" s="110"/>
      <c r="I55" s="111"/>
      <c r="J55" s="112"/>
      <c r="K55" s="113"/>
      <c r="L55" s="110"/>
      <c r="M55" s="110"/>
      <c r="N55" s="110"/>
      <c r="O55" s="109"/>
    </row>
    <row r="56" spans="2:15" x14ac:dyDescent="0.25">
      <c r="B56" s="65"/>
      <c r="C56" s="114" t="s">
        <v>100</v>
      </c>
      <c r="D56" s="191">
        <f>+E54/(E54+G52)</f>
        <v>0.64064593891600907</v>
      </c>
      <c r="E56" s="110"/>
      <c r="F56" s="110"/>
      <c r="I56" s="114" t="s">
        <v>48</v>
      </c>
      <c r="J56" s="110">
        <f>+I54+J52</f>
        <v>80.951544000000013</v>
      </c>
      <c r="L56" s="110">
        <f>((H52+G52+E54+F54)*$U$11)</f>
        <v>23610867</v>
      </c>
      <c r="N56" s="110">
        <f>+M54+N52</f>
        <v>14841116.400000002</v>
      </c>
      <c r="O56" s="109"/>
    </row>
    <row r="57" spans="2:15" x14ac:dyDescent="0.25">
      <c r="B57" s="65"/>
      <c r="C57" s="72"/>
      <c r="D57" s="72"/>
      <c r="E57" s="110">
        <f>+E54+G52</f>
        <v>1706601</v>
      </c>
      <c r="F57" s="110"/>
      <c r="I57" s="114" t="s">
        <v>49</v>
      </c>
      <c r="J57" s="110"/>
      <c r="L57" s="110">
        <f>(G52+E54)*$U$12</f>
        <v>3583862.1</v>
      </c>
      <c r="N57" s="110"/>
      <c r="O57" s="109"/>
    </row>
    <row r="58" spans="2:15" x14ac:dyDescent="0.25">
      <c r="B58" s="65"/>
      <c r="C58" s="72"/>
      <c r="D58" s="72"/>
      <c r="E58" s="110"/>
      <c r="F58" s="110"/>
      <c r="I58" s="115" t="s">
        <v>86</v>
      </c>
      <c r="J58" s="116">
        <f>J52/J56</f>
        <v>0.31818427082749645</v>
      </c>
      <c r="K58" s="113"/>
      <c r="L58" s="116">
        <f>+L52/L56</f>
        <v>0.31818427082749651</v>
      </c>
      <c r="M58" s="110"/>
      <c r="N58" s="116">
        <f>N52/N56</f>
        <v>0.31818427082749651</v>
      </c>
      <c r="O58" s="109"/>
    </row>
    <row r="59" spans="2:15" x14ac:dyDescent="0.25">
      <c r="B59" s="65"/>
      <c r="C59" s="72"/>
      <c r="D59" s="72"/>
      <c r="E59" s="110"/>
      <c r="F59" s="110"/>
      <c r="H59" s="188" t="s">
        <v>95</v>
      </c>
      <c r="I59" s="187">
        <f>+I54/I8</f>
        <v>0.69615899688995209</v>
      </c>
      <c r="K59" s="187">
        <f>+(K52+K54)/K8</f>
        <v>0.68860012823086925</v>
      </c>
      <c r="M59" s="187">
        <f>+M54/M8</f>
        <v>0.69615899688995198</v>
      </c>
      <c r="O59" s="109"/>
    </row>
    <row r="60" spans="2:15" x14ac:dyDescent="0.25">
      <c r="B60" s="65"/>
      <c r="C60" s="171" t="s">
        <v>50</v>
      </c>
      <c r="D60" s="117"/>
      <c r="E60" s="118"/>
      <c r="F60" s="110"/>
      <c r="H60" s="110"/>
      <c r="I60" s="111"/>
      <c r="J60" s="112"/>
      <c r="K60" s="113"/>
      <c r="L60" s="110"/>
      <c r="M60" s="110"/>
      <c r="N60" s="110"/>
      <c r="O60" s="109"/>
    </row>
    <row r="61" spans="2:15" x14ac:dyDescent="0.25">
      <c r="B61" s="65"/>
      <c r="C61" s="172" t="str">
        <f>+D15</f>
        <v>Passaggio di alcune comunicazione da cartacee a digitali:</v>
      </c>
      <c r="D61" s="119"/>
      <c r="E61" s="118"/>
      <c r="F61" s="110"/>
      <c r="G61" s="110"/>
      <c r="H61" s="110"/>
      <c r="I61" s="111"/>
      <c r="J61" s="111"/>
      <c r="K61" s="110"/>
      <c r="L61" s="110"/>
      <c r="M61" s="110"/>
      <c r="N61" s="110"/>
      <c r="O61" s="109"/>
    </row>
    <row r="62" spans="2:15" x14ac:dyDescent="0.25">
      <c r="B62" s="120"/>
      <c r="C62" s="170">
        <f>+D16</f>
        <v>0.1</v>
      </c>
      <c r="D62" s="121"/>
      <c r="E62" s="122"/>
      <c r="F62" s="110"/>
      <c r="G62" s="110"/>
      <c r="H62" s="110"/>
      <c r="I62" s="111"/>
      <c r="J62" s="111"/>
      <c r="K62" s="110"/>
      <c r="L62" s="110"/>
      <c r="M62" s="110"/>
      <c r="N62" s="110"/>
      <c r="O62" s="109"/>
    </row>
    <row r="63" spans="2:15" x14ac:dyDescent="0.25">
      <c r="B63" s="123"/>
      <c r="C63" s="74"/>
      <c r="D63" s="75"/>
      <c r="E63" s="166" t="s">
        <v>11</v>
      </c>
      <c r="F63" s="167"/>
      <c r="G63" s="229" t="s">
        <v>12</v>
      </c>
      <c r="H63" s="229"/>
      <c r="I63" s="226" t="s">
        <v>84</v>
      </c>
      <c r="J63" s="226"/>
      <c r="K63" s="227" t="s">
        <v>33</v>
      </c>
      <c r="L63" s="227"/>
      <c r="M63" s="228" t="s">
        <v>34</v>
      </c>
      <c r="N63" s="228"/>
      <c r="O63" s="109"/>
    </row>
    <row r="64" spans="2:15" x14ac:dyDescent="0.25">
      <c r="B64" s="123"/>
      <c r="C64" s="124"/>
      <c r="D64" s="76" t="s">
        <v>45</v>
      </c>
      <c r="E64" s="76" t="s">
        <v>10</v>
      </c>
      <c r="F64" s="76" t="s">
        <v>9</v>
      </c>
      <c r="G64" s="76" t="s">
        <v>13</v>
      </c>
      <c r="H64" s="76" t="s">
        <v>14</v>
      </c>
      <c r="I64" s="77" t="s">
        <v>68</v>
      </c>
      <c r="J64" s="77" t="s">
        <v>69</v>
      </c>
      <c r="K64" s="78" t="s">
        <v>72</v>
      </c>
      <c r="L64" s="78" t="s">
        <v>83</v>
      </c>
      <c r="M64" s="79" t="s">
        <v>70</v>
      </c>
      <c r="N64" s="79" t="s">
        <v>71</v>
      </c>
      <c r="O64" s="109"/>
    </row>
    <row r="65" spans="2:16" x14ac:dyDescent="0.25">
      <c r="B65" s="65"/>
      <c r="C65" s="125" t="s">
        <v>46</v>
      </c>
      <c r="D65" s="173">
        <f>+G65/(G65+E66)</f>
        <v>0.45935406108399091</v>
      </c>
      <c r="E65" s="82"/>
      <c r="F65" s="82"/>
      <c r="G65" s="126">
        <f>+G52+(E54+G52)*$D$16</f>
        <v>783934.1</v>
      </c>
      <c r="H65" s="126">
        <f>+H52+(F54+H52)*$D$16</f>
        <v>2037121.1</v>
      </c>
      <c r="I65" s="83"/>
      <c r="J65" s="127">
        <f>(G65+H65)*$U$9</f>
        <v>33.8526624</v>
      </c>
      <c r="K65" s="128">
        <f>(G65*$U$12)</f>
        <v>1646261.61</v>
      </c>
      <c r="L65" s="84">
        <f>((H65+G65)*$U$11)</f>
        <v>9873693.2000000011</v>
      </c>
      <c r="M65" s="85"/>
      <c r="N65" s="86">
        <f>((H65+G65)*$U$10)</f>
        <v>6206321.4400000013</v>
      </c>
      <c r="O65" s="109"/>
    </row>
    <row r="66" spans="2:16" x14ac:dyDescent="0.25">
      <c r="B66" s="65"/>
      <c r="C66" s="129" t="s">
        <v>47</v>
      </c>
      <c r="D66" s="174">
        <f>+E66/(E66+G65)</f>
        <v>0.54064593891600909</v>
      </c>
      <c r="E66" s="101">
        <f>+E54-(E54+G52)*$D$16</f>
        <v>922666.9</v>
      </c>
      <c r="F66" s="101">
        <f>+F54-(F54+H52)*$D$16</f>
        <v>3002239.9</v>
      </c>
      <c r="G66" s="102"/>
      <c r="H66" s="101"/>
      <c r="I66" s="103">
        <f>(F66+E66)*$U$9</f>
        <v>47.098881599999999</v>
      </c>
      <c r="J66" s="104"/>
      <c r="K66" s="105">
        <f>(F66+E66)*$U$11</f>
        <v>13737173.799999999</v>
      </c>
      <c r="L66" s="106"/>
      <c r="M66" s="107">
        <f>(F66+E66)*$U$10</f>
        <v>8634794.9600000009</v>
      </c>
      <c r="N66" s="108"/>
      <c r="O66" s="109"/>
    </row>
    <row r="67" spans="2:16" x14ac:dyDescent="0.25">
      <c r="B67" s="65"/>
      <c r="C67" s="72"/>
      <c r="D67" s="72"/>
      <c r="E67" s="110"/>
      <c r="F67" s="110"/>
      <c r="H67" s="110"/>
      <c r="I67" s="111"/>
      <c r="J67" s="112"/>
      <c r="K67" s="113"/>
      <c r="L67" s="110"/>
      <c r="M67" s="110"/>
      <c r="N67" s="110"/>
      <c r="O67" s="109"/>
    </row>
    <row r="68" spans="2:16" x14ac:dyDescent="0.25">
      <c r="B68" s="65"/>
      <c r="C68" s="72"/>
      <c r="D68" s="72"/>
      <c r="E68" s="110"/>
      <c r="F68" s="110"/>
      <c r="H68" s="110"/>
      <c r="I68" s="115" t="s">
        <v>86</v>
      </c>
      <c r="J68" s="116">
        <f>J65/J56</f>
        <v>0.41818427082749643</v>
      </c>
      <c r="K68" s="113"/>
      <c r="L68" s="116">
        <f>+L65/L56</f>
        <v>0.41818427082749654</v>
      </c>
      <c r="M68" s="110"/>
      <c r="N68" s="116">
        <f>N65/N56</f>
        <v>0.41818427082749654</v>
      </c>
      <c r="O68" s="109"/>
    </row>
    <row r="69" spans="2:16" ht="15.75" thickBot="1" x14ac:dyDescent="0.3">
      <c r="B69" s="130"/>
      <c r="C69" s="131"/>
      <c r="D69" s="131"/>
      <c r="E69" s="132"/>
      <c r="F69" s="132"/>
      <c r="G69" s="133"/>
      <c r="H69" s="132"/>
      <c r="I69" s="134"/>
      <c r="J69" s="135"/>
      <c r="K69" s="136"/>
      <c r="L69" s="132"/>
      <c r="M69" s="132"/>
      <c r="N69" s="132"/>
      <c r="O69" s="137"/>
    </row>
    <row r="70" spans="2:16" x14ac:dyDescent="0.25">
      <c r="C70" s="72"/>
      <c r="D70" s="72"/>
      <c r="E70" s="110"/>
      <c r="F70" s="110"/>
      <c r="H70" s="110"/>
      <c r="I70" s="111"/>
      <c r="J70" s="112"/>
      <c r="K70" s="113"/>
      <c r="L70" s="110"/>
      <c r="M70" s="110"/>
      <c r="N70" s="110"/>
      <c r="O70" s="112"/>
    </row>
    <row r="71" spans="2:16" x14ac:dyDescent="0.25">
      <c r="C71" s="72"/>
      <c r="D71" s="72"/>
      <c r="E71" s="110"/>
      <c r="F71" s="110"/>
      <c r="H71" s="110"/>
      <c r="I71" s="111"/>
      <c r="J71" s="112"/>
      <c r="K71" s="113"/>
      <c r="L71" s="110"/>
      <c r="M71" s="110"/>
      <c r="N71" s="110"/>
      <c r="O71" s="112"/>
    </row>
    <row r="72" spans="2:16" ht="15.75" thickBot="1" x14ac:dyDescent="0.3">
      <c r="C72" s="72"/>
      <c r="D72" s="72"/>
      <c r="E72" s="110"/>
      <c r="F72" s="110"/>
      <c r="H72" s="110"/>
      <c r="I72" s="111"/>
      <c r="J72" s="112"/>
      <c r="K72" s="113"/>
      <c r="L72" s="110"/>
      <c r="M72" s="110"/>
      <c r="N72" s="110"/>
      <c r="O72" s="112"/>
    </row>
    <row r="73" spans="2:16" x14ac:dyDescent="0.25">
      <c r="B73" s="60"/>
      <c r="C73" s="138"/>
      <c r="D73" s="138"/>
      <c r="E73" s="139"/>
      <c r="F73" s="139"/>
      <c r="G73" s="140"/>
      <c r="H73" s="139"/>
      <c r="I73" s="141"/>
      <c r="J73" s="142"/>
      <c r="K73" s="143"/>
      <c r="L73" s="139"/>
      <c r="M73" s="139"/>
      <c r="N73" s="139"/>
      <c r="O73" s="144"/>
    </row>
    <row r="74" spans="2:16" x14ac:dyDescent="0.25">
      <c r="B74" s="65"/>
      <c r="C74" s="66" t="s">
        <v>5</v>
      </c>
      <c r="D74" s="67"/>
      <c r="E74" s="68"/>
      <c r="F74" s="68"/>
      <c r="G74" s="68"/>
      <c r="H74" s="68"/>
      <c r="I74" s="69"/>
      <c r="J74" s="69"/>
      <c r="K74" s="68"/>
      <c r="L74" s="68"/>
      <c r="M74" s="68"/>
      <c r="N74" s="70"/>
      <c r="O74" s="71"/>
    </row>
    <row r="75" spans="2:16" x14ac:dyDescent="0.25">
      <c r="B75" s="65"/>
      <c r="C75" s="73"/>
      <c r="D75" s="73"/>
      <c r="E75" s="73"/>
      <c r="F75" s="73"/>
      <c r="G75" s="73"/>
      <c r="H75" s="73"/>
      <c r="O75" s="71"/>
    </row>
    <row r="76" spans="2:16" x14ac:dyDescent="0.25">
      <c r="B76" s="65"/>
      <c r="C76" s="74" t="s">
        <v>44</v>
      </c>
      <c r="D76" s="75"/>
      <c r="E76" s="166" t="s">
        <v>11</v>
      </c>
      <c r="F76" s="167"/>
      <c r="G76" s="229" t="s">
        <v>12</v>
      </c>
      <c r="H76" s="229"/>
      <c r="I76" s="226" t="s">
        <v>84</v>
      </c>
      <c r="J76" s="226"/>
      <c r="K76" s="227" t="s">
        <v>33</v>
      </c>
      <c r="L76" s="227"/>
      <c r="M76" s="228" t="s">
        <v>34</v>
      </c>
      <c r="N76" s="228"/>
      <c r="O76" s="71"/>
    </row>
    <row r="77" spans="2:16" x14ac:dyDescent="0.25">
      <c r="B77" s="65"/>
      <c r="C77" s="74"/>
      <c r="D77" s="76" t="s">
        <v>45</v>
      </c>
      <c r="E77" s="76" t="s">
        <v>10</v>
      </c>
      <c r="F77" s="76" t="s">
        <v>9</v>
      </c>
      <c r="G77" s="76" t="s">
        <v>13</v>
      </c>
      <c r="H77" s="76" t="s">
        <v>14</v>
      </c>
      <c r="I77" s="77" t="s">
        <v>68</v>
      </c>
      <c r="J77" s="77" t="s">
        <v>69</v>
      </c>
      <c r="K77" s="78" t="s">
        <v>72</v>
      </c>
      <c r="L77" s="78" t="s">
        <v>83</v>
      </c>
      <c r="M77" s="79" t="s">
        <v>70</v>
      </c>
      <c r="N77" s="79" t="s">
        <v>71</v>
      </c>
      <c r="O77" s="71"/>
    </row>
    <row r="78" spans="2:16" x14ac:dyDescent="0.25">
      <c r="B78" s="65"/>
      <c r="C78" s="80" t="s">
        <v>1</v>
      </c>
      <c r="D78" s="81"/>
      <c r="E78" s="126"/>
      <c r="F78" s="126"/>
      <c r="G78" s="126"/>
      <c r="H78" s="126"/>
      <c r="I78" s="83"/>
      <c r="J78" s="83"/>
      <c r="K78" s="84"/>
      <c r="L78" s="84"/>
      <c r="M78" s="85"/>
      <c r="N78" s="86"/>
      <c r="O78" s="71"/>
      <c r="P78" s="112"/>
    </row>
    <row r="79" spans="2:16" x14ac:dyDescent="0.25">
      <c r="B79" s="65"/>
      <c r="C79" s="87" t="s">
        <v>2</v>
      </c>
      <c r="D79" s="145"/>
      <c r="E79" s="99">
        <v>10385</v>
      </c>
      <c r="F79" s="99">
        <v>30364</v>
      </c>
      <c r="G79" s="99"/>
      <c r="H79" s="99"/>
      <c r="I79" s="91">
        <f>(F79+E79*2)*$U$9</f>
        <v>0.61360800000000004</v>
      </c>
      <c r="J79" s="91"/>
      <c r="K79" s="93">
        <f>(F79+E79*2)*$U$11</f>
        <v>178969</v>
      </c>
      <c r="L79" s="94"/>
      <c r="M79" s="95">
        <f>(F79+E79+E79)*$U$10</f>
        <v>112494.8</v>
      </c>
      <c r="N79" s="96"/>
      <c r="O79" s="109"/>
    </row>
    <row r="80" spans="2:16" x14ac:dyDescent="0.25">
      <c r="B80" s="65"/>
      <c r="C80" s="97" t="s">
        <v>0</v>
      </c>
      <c r="D80" s="98"/>
      <c r="E80" s="99"/>
      <c r="F80" s="99"/>
      <c r="G80" s="99"/>
      <c r="H80" s="99"/>
      <c r="I80" s="91"/>
      <c r="J80" s="91"/>
      <c r="K80" s="94"/>
      <c r="L80" s="94"/>
      <c r="M80" s="95"/>
      <c r="N80" s="96"/>
      <c r="O80" s="109"/>
    </row>
    <row r="81" spans="2:20" x14ac:dyDescent="0.25">
      <c r="B81" s="65"/>
      <c r="C81" s="100" t="s">
        <v>2</v>
      </c>
      <c r="D81" s="146"/>
      <c r="E81" s="101">
        <v>47071</v>
      </c>
      <c r="F81" s="101">
        <v>134661</v>
      </c>
      <c r="G81" s="101"/>
      <c r="H81" s="101"/>
      <c r="I81" s="103">
        <f>(F81+E81*2)*$U$9</f>
        <v>2.7456360000000002</v>
      </c>
      <c r="J81" s="103"/>
      <c r="K81" s="105">
        <f>(F81+E81*2)*$U$11</f>
        <v>800810.5</v>
      </c>
      <c r="L81" s="106"/>
      <c r="M81" s="107">
        <f>(F81+E81+E81)*$U$10</f>
        <v>503366.60000000003</v>
      </c>
      <c r="N81" s="108"/>
      <c r="O81" s="109"/>
    </row>
    <row r="82" spans="2:20" x14ac:dyDescent="0.25">
      <c r="B82" s="65"/>
      <c r="C82" s="114" t="s">
        <v>101</v>
      </c>
      <c r="D82" s="191"/>
      <c r="O82" s="109"/>
    </row>
    <row r="83" spans="2:20" x14ac:dyDescent="0.25">
      <c r="B83" s="65"/>
      <c r="C83" s="114" t="s">
        <v>100</v>
      </c>
      <c r="D83" s="191">
        <f>+(E79+E81)/(E79+E81)</f>
        <v>1</v>
      </c>
      <c r="I83" s="114" t="s">
        <v>48</v>
      </c>
      <c r="J83" s="111">
        <f>+I81+I79</f>
        <v>3.3592440000000003</v>
      </c>
      <c r="L83" s="110">
        <f>((F79+E79*2+E81*2+F81)*$U$11)</f>
        <v>979779.5</v>
      </c>
      <c r="N83" s="110">
        <f>+M81+M79</f>
        <v>615861.4</v>
      </c>
      <c r="O83" s="109"/>
    </row>
    <row r="84" spans="2:20" x14ac:dyDescent="0.25">
      <c r="B84" s="65"/>
      <c r="I84" s="114" t="s">
        <v>49</v>
      </c>
      <c r="J84" s="110"/>
      <c r="L84" s="110">
        <f>(E79*2+E81*2)*$U$12</f>
        <v>241315.20000000001</v>
      </c>
      <c r="N84" s="110"/>
      <c r="O84" s="109"/>
    </row>
    <row r="85" spans="2:20" x14ac:dyDescent="0.25">
      <c r="B85" s="65"/>
      <c r="I85" s="115" t="s">
        <v>86</v>
      </c>
      <c r="J85" s="116">
        <f>(J79+J81)/J83</f>
        <v>0</v>
      </c>
      <c r="K85" s="113"/>
      <c r="L85" s="116">
        <f>(L79+L81)/L83</f>
        <v>0</v>
      </c>
      <c r="M85" s="110"/>
      <c r="N85" s="116">
        <f>(N79+N81)/N83</f>
        <v>0</v>
      </c>
      <c r="O85" s="109"/>
    </row>
    <row r="86" spans="2:20" x14ac:dyDescent="0.25">
      <c r="B86" s="65"/>
      <c r="C86" s="72"/>
      <c r="D86" s="72"/>
      <c r="E86" s="110"/>
      <c r="F86" s="110"/>
      <c r="H86" s="110"/>
      <c r="O86" s="109"/>
    </row>
    <row r="87" spans="2:20" x14ac:dyDescent="0.25">
      <c r="B87" s="65"/>
      <c r="C87" s="171" t="s">
        <v>50</v>
      </c>
      <c r="D87" s="117"/>
      <c r="E87" s="118"/>
      <c r="F87" s="110"/>
      <c r="H87" s="110"/>
      <c r="I87" s="111"/>
      <c r="J87" s="112"/>
      <c r="K87" s="113"/>
      <c r="L87" s="110"/>
      <c r="M87" s="110"/>
      <c r="N87" s="110"/>
      <c r="O87" s="109"/>
    </row>
    <row r="88" spans="2:20" x14ac:dyDescent="0.25">
      <c r="B88" s="65"/>
      <c r="C88" s="172" t="str">
        <f>+D18</f>
        <v>Sostituzione di alcune Raccomandate AR con tNotice:</v>
      </c>
      <c r="D88" s="119"/>
      <c r="E88" s="118"/>
      <c r="F88" s="110"/>
      <c r="G88" s="110"/>
      <c r="H88" s="110"/>
      <c r="I88" s="111"/>
      <c r="J88" s="111"/>
      <c r="K88" s="110"/>
      <c r="L88" s="110"/>
      <c r="M88" s="110"/>
      <c r="N88" s="110"/>
      <c r="O88" s="109"/>
    </row>
    <row r="89" spans="2:20" x14ac:dyDescent="0.25">
      <c r="B89" s="120"/>
      <c r="C89" s="170">
        <f>+D19</f>
        <v>0.4</v>
      </c>
      <c r="D89" s="121"/>
      <c r="E89" s="122"/>
      <c r="F89" s="110"/>
      <c r="G89" s="110"/>
      <c r="H89" s="110"/>
      <c r="I89" s="111"/>
      <c r="J89" s="111"/>
      <c r="K89" s="110"/>
      <c r="L89" s="110"/>
      <c r="M89" s="110"/>
      <c r="N89" s="110"/>
      <c r="O89" s="109"/>
    </row>
    <row r="90" spans="2:20" ht="24.6" customHeight="1" x14ac:dyDescent="0.25">
      <c r="B90" s="123"/>
      <c r="C90" s="74"/>
      <c r="D90" s="75"/>
      <c r="E90" s="166" t="s">
        <v>11</v>
      </c>
      <c r="F90" s="167"/>
      <c r="G90" s="229" t="s">
        <v>12</v>
      </c>
      <c r="H90" s="229"/>
      <c r="I90" s="226" t="s">
        <v>84</v>
      </c>
      <c r="J90" s="226"/>
      <c r="K90" s="227" t="s">
        <v>33</v>
      </c>
      <c r="L90" s="227"/>
      <c r="M90" s="228" t="s">
        <v>34</v>
      </c>
      <c r="N90" s="228"/>
      <c r="O90" s="109"/>
    </row>
    <row r="91" spans="2:20" x14ac:dyDescent="0.25">
      <c r="B91" s="123"/>
      <c r="C91" s="74"/>
      <c r="D91" s="76" t="s">
        <v>45</v>
      </c>
      <c r="E91" s="76" t="s">
        <v>10</v>
      </c>
      <c r="F91" s="76" t="s">
        <v>9</v>
      </c>
      <c r="G91" s="76" t="s">
        <v>13</v>
      </c>
      <c r="H91" s="76" t="s">
        <v>14</v>
      </c>
      <c r="I91" s="77" t="s">
        <v>68</v>
      </c>
      <c r="J91" s="77" t="s">
        <v>69</v>
      </c>
      <c r="K91" s="78" t="s">
        <v>72</v>
      </c>
      <c r="L91" s="78" t="s">
        <v>83</v>
      </c>
      <c r="M91" s="79" t="s">
        <v>70</v>
      </c>
      <c r="N91" s="79" t="s">
        <v>71</v>
      </c>
      <c r="O91" s="109"/>
      <c r="T91" s="72"/>
    </row>
    <row r="92" spans="2:20" x14ac:dyDescent="0.25">
      <c r="B92" s="65"/>
      <c r="C92" s="125" t="s">
        <v>2</v>
      </c>
      <c r="D92" s="173">
        <f>+E92/(E92+G93)</f>
        <v>0.6</v>
      </c>
      <c r="E92" s="126">
        <f>+(E79+E81)*(1-D19)</f>
        <v>34473.599999999999</v>
      </c>
      <c r="F92" s="126">
        <f>+(F79+F81)*(1-D19)</f>
        <v>99015</v>
      </c>
      <c r="G92" s="126"/>
      <c r="H92" s="147"/>
      <c r="I92" s="83">
        <f>(F92+E92*2)*$U$9</f>
        <v>2.0155464000000003</v>
      </c>
      <c r="J92" s="127"/>
      <c r="K92" s="128">
        <f>(F92+E92*2)*$U$11</f>
        <v>587867.70000000007</v>
      </c>
      <c r="L92" s="84"/>
      <c r="M92" s="85">
        <f>(F92+E92*2)*$U$10</f>
        <v>369516.84000000008</v>
      </c>
      <c r="N92" s="86"/>
      <c r="O92" s="109"/>
    </row>
    <row r="93" spans="2:20" x14ac:dyDescent="0.25">
      <c r="B93" s="65"/>
      <c r="C93" s="129" t="s">
        <v>53</v>
      </c>
      <c r="D93" s="174">
        <f>+G93/(G93+E92)</f>
        <v>0.4</v>
      </c>
      <c r="E93" s="101"/>
      <c r="F93" s="101"/>
      <c r="G93" s="101">
        <f>+(E79+E81)*D19</f>
        <v>22982.400000000001</v>
      </c>
      <c r="H93" s="101">
        <f>+(F79+F81)*D19</f>
        <v>66010</v>
      </c>
      <c r="I93" s="103"/>
      <c r="J93" s="104">
        <f>(G93*2+H93)*$U$9</f>
        <v>1.3436976</v>
      </c>
      <c r="K93" s="105">
        <f>(G93*2)*$U$12</f>
        <v>96526.080000000016</v>
      </c>
      <c r="L93" s="106">
        <f>((H93+G93*2)*$U$11)</f>
        <v>391911.8</v>
      </c>
      <c r="M93" s="107"/>
      <c r="N93" s="108">
        <f>((H93+G93*2)*$U$10)</f>
        <v>246344.56000000003</v>
      </c>
      <c r="O93" s="109"/>
    </row>
    <row r="94" spans="2:20" x14ac:dyDescent="0.25">
      <c r="B94" s="65"/>
      <c r="O94" s="109"/>
    </row>
    <row r="95" spans="2:20" x14ac:dyDescent="0.25">
      <c r="B95" s="65"/>
      <c r="I95" s="115" t="s">
        <v>86</v>
      </c>
      <c r="J95" s="116">
        <f>J93/J83</f>
        <v>0.39999999999999997</v>
      </c>
      <c r="K95" s="113"/>
      <c r="L95" s="116">
        <f>L93/L83</f>
        <v>0.39999999999999997</v>
      </c>
      <c r="M95" s="110"/>
      <c r="N95" s="116">
        <f>N93/N83</f>
        <v>0.4</v>
      </c>
      <c r="O95" s="109"/>
    </row>
    <row r="96" spans="2:20" ht="15.75" thickBot="1" x14ac:dyDescent="0.3">
      <c r="B96" s="130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7"/>
    </row>
    <row r="97" spans="2:16" x14ac:dyDescent="0.25">
      <c r="C97" s="72"/>
      <c r="D97" s="72"/>
      <c r="E97" s="110"/>
      <c r="F97" s="110"/>
      <c r="H97" s="110"/>
      <c r="I97" s="111"/>
      <c r="J97" s="112"/>
      <c r="K97" s="113"/>
      <c r="L97" s="110"/>
      <c r="M97" s="110"/>
      <c r="N97" s="110"/>
      <c r="O97" s="112"/>
    </row>
    <row r="98" spans="2:16" x14ac:dyDescent="0.25">
      <c r="C98" s="72"/>
      <c r="D98" s="72"/>
      <c r="E98" s="110"/>
      <c r="F98" s="110"/>
      <c r="H98" s="110"/>
      <c r="I98" s="111"/>
      <c r="J98" s="112"/>
      <c r="K98" s="113"/>
      <c r="L98" s="110"/>
      <c r="M98" s="110"/>
      <c r="N98" s="110"/>
      <c r="O98" s="112"/>
    </row>
    <row r="99" spans="2:16" ht="15.75" thickBot="1" x14ac:dyDescent="0.3">
      <c r="C99" s="72"/>
      <c r="D99" s="72"/>
      <c r="E99" s="110"/>
      <c r="F99" s="110"/>
      <c r="H99" s="110"/>
      <c r="I99" s="111"/>
      <c r="J99" s="112"/>
      <c r="K99" s="113"/>
      <c r="L99" s="110"/>
      <c r="M99" s="110"/>
      <c r="N99" s="110"/>
      <c r="O99" s="112"/>
    </row>
    <row r="100" spans="2:16" x14ac:dyDescent="0.25">
      <c r="B100" s="60"/>
      <c r="C100" s="138"/>
      <c r="D100" s="138"/>
      <c r="E100" s="139"/>
      <c r="F100" s="139"/>
      <c r="G100" s="140"/>
      <c r="H100" s="139"/>
      <c r="I100" s="141"/>
      <c r="J100" s="142"/>
      <c r="K100" s="143"/>
      <c r="L100" s="139"/>
      <c r="M100" s="139"/>
      <c r="N100" s="139"/>
      <c r="O100" s="144"/>
    </row>
    <row r="101" spans="2:16" x14ac:dyDescent="0.25">
      <c r="B101" s="65"/>
      <c r="C101" s="66" t="s">
        <v>29</v>
      </c>
      <c r="D101" s="67"/>
      <c r="E101" s="68"/>
      <c r="F101" s="68"/>
      <c r="G101" s="68"/>
      <c r="H101" s="68"/>
      <c r="I101" s="69"/>
      <c r="J101" s="69"/>
      <c r="K101" s="68"/>
      <c r="L101" s="68"/>
      <c r="M101" s="68"/>
      <c r="N101" s="70"/>
      <c r="O101" s="71"/>
    </row>
    <row r="102" spans="2:16" x14ac:dyDescent="0.25">
      <c r="B102" s="65"/>
      <c r="C102" s="73"/>
      <c r="D102" s="73"/>
      <c r="E102" s="73"/>
      <c r="F102" s="73"/>
      <c r="G102" s="73"/>
      <c r="H102" s="73"/>
      <c r="O102" s="71"/>
    </row>
    <row r="103" spans="2:16" x14ac:dyDescent="0.25">
      <c r="B103" s="65"/>
      <c r="C103" s="74" t="s">
        <v>44</v>
      </c>
      <c r="D103" s="75"/>
      <c r="E103" s="166" t="s">
        <v>11</v>
      </c>
      <c r="F103" s="167"/>
      <c r="G103" s="229" t="s">
        <v>12</v>
      </c>
      <c r="H103" s="229"/>
      <c r="I103" s="226" t="s">
        <v>84</v>
      </c>
      <c r="J103" s="226"/>
      <c r="K103" s="227" t="s">
        <v>33</v>
      </c>
      <c r="L103" s="227"/>
      <c r="M103" s="228" t="s">
        <v>34</v>
      </c>
      <c r="N103" s="228"/>
      <c r="O103" s="109"/>
    </row>
    <row r="104" spans="2:16" x14ac:dyDescent="0.25">
      <c r="B104" s="65"/>
      <c r="C104" s="74"/>
      <c r="D104" s="74"/>
      <c r="E104" s="76" t="s">
        <v>10</v>
      </c>
      <c r="F104" s="76" t="s">
        <v>9</v>
      </c>
      <c r="G104" s="76" t="s">
        <v>13</v>
      </c>
      <c r="H104" s="76" t="s">
        <v>14</v>
      </c>
      <c r="I104" s="77" t="s">
        <v>68</v>
      </c>
      <c r="J104" s="77" t="s">
        <v>69</v>
      </c>
      <c r="K104" s="78" t="s">
        <v>72</v>
      </c>
      <c r="L104" s="78" t="s">
        <v>83</v>
      </c>
      <c r="M104" s="79" t="s">
        <v>70</v>
      </c>
      <c r="N104" s="79" t="s">
        <v>71</v>
      </c>
      <c r="O104" s="109"/>
    </row>
    <row r="105" spans="2:16" x14ac:dyDescent="0.25">
      <c r="B105" s="65"/>
      <c r="C105" s="80" t="s">
        <v>1</v>
      </c>
      <c r="D105" s="81"/>
      <c r="E105" s="126"/>
      <c r="F105" s="126"/>
      <c r="G105" s="82"/>
      <c r="H105" s="82"/>
      <c r="I105" s="83"/>
      <c r="J105" s="83"/>
      <c r="K105" s="84"/>
      <c r="L105" s="84"/>
      <c r="M105" s="85"/>
      <c r="N105" s="86"/>
      <c r="O105" s="71"/>
    </row>
    <row r="106" spans="2:16" x14ac:dyDescent="0.25">
      <c r="B106" s="65"/>
      <c r="C106" s="87" t="s">
        <v>47</v>
      </c>
      <c r="D106" s="145"/>
      <c r="E106" s="99">
        <v>101671</v>
      </c>
      <c r="F106" s="99">
        <v>423411</v>
      </c>
      <c r="G106" s="99"/>
      <c r="H106" s="99"/>
      <c r="I106" s="91">
        <f>(F106+E106)*$U$9</f>
        <v>6.3009840000000006</v>
      </c>
      <c r="J106" s="91"/>
      <c r="K106" s="93">
        <f>((F106+E106)*$U$11)</f>
        <v>1837787</v>
      </c>
      <c r="L106" s="94"/>
      <c r="M106" s="95">
        <f>(F106+E106)*$U$10</f>
        <v>1155180.4000000001</v>
      </c>
      <c r="N106" s="96"/>
      <c r="O106" s="109"/>
    </row>
    <row r="107" spans="2:16" x14ac:dyDescent="0.25">
      <c r="B107" s="65"/>
      <c r="C107" s="87" t="s">
        <v>46</v>
      </c>
      <c r="D107" s="145"/>
      <c r="E107" s="99"/>
      <c r="F107" s="99"/>
      <c r="G107" s="99">
        <v>134782</v>
      </c>
      <c r="H107" s="99">
        <v>377389.6</v>
      </c>
      <c r="I107" s="91"/>
      <c r="J107" s="91">
        <f>(G107+H107)*$U$9</f>
        <v>6.1460591999999998</v>
      </c>
      <c r="K107" s="93">
        <f>+G107*$U$12</f>
        <v>283042.2</v>
      </c>
      <c r="L107" s="94">
        <f>((H107+G107)*$U$11)</f>
        <v>1792600.5999999999</v>
      </c>
      <c r="M107" s="95"/>
      <c r="N107" s="96">
        <f>((H107+G107)*$U$10)</f>
        <v>1126777.52</v>
      </c>
      <c r="O107" s="109"/>
    </row>
    <row r="108" spans="2:16" x14ac:dyDescent="0.25">
      <c r="B108" s="65"/>
      <c r="C108" s="87" t="s">
        <v>2</v>
      </c>
      <c r="D108" s="145"/>
      <c r="E108" s="99">
        <v>5</v>
      </c>
      <c r="F108" s="99">
        <v>54</v>
      </c>
      <c r="G108" s="99"/>
      <c r="H108" s="99"/>
      <c r="I108" s="91">
        <f>(F108+E108*2)*$U$9</f>
        <v>7.6800000000000002E-4</v>
      </c>
      <c r="J108" s="91"/>
      <c r="K108" s="93">
        <f>(F108+E108*2)*$U$11</f>
        <v>224</v>
      </c>
      <c r="L108" s="94"/>
      <c r="M108" s="95">
        <f>(F108+E108*2)*$U$10</f>
        <v>140.80000000000001</v>
      </c>
      <c r="N108" s="96"/>
      <c r="O108" s="109"/>
    </row>
    <row r="109" spans="2:16" x14ac:dyDescent="0.25">
      <c r="B109" s="65"/>
      <c r="C109" s="97" t="s">
        <v>0</v>
      </c>
      <c r="D109" s="98"/>
      <c r="E109" s="99"/>
      <c r="F109" s="99"/>
      <c r="G109" s="99"/>
      <c r="H109" s="99"/>
      <c r="I109" s="91"/>
      <c r="J109" s="91"/>
      <c r="K109" s="94"/>
      <c r="L109" s="94"/>
      <c r="M109" s="95"/>
      <c r="N109" s="96"/>
      <c r="O109" s="109"/>
      <c r="P109" s="112"/>
    </row>
    <row r="110" spans="2:16" x14ac:dyDescent="0.25">
      <c r="B110" s="65"/>
      <c r="C110" s="100" t="s">
        <v>3</v>
      </c>
      <c r="D110" s="146"/>
      <c r="E110" s="101">
        <v>715</v>
      </c>
      <c r="F110" s="101">
        <v>1430</v>
      </c>
      <c r="G110" s="101"/>
      <c r="H110" s="101"/>
      <c r="I110" s="103">
        <f>(F110+E110)*$U$9</f>
        <v>2.5739999999999999E-2</v>
      </c>
      <c r="J110" s="104"/>
      <c r="K110" s="105">
        <f>(F110+E110)*$U$11</f>
        <v>7507.5</v>
      </c>
      <c r="L110" s="106"/>
      <c r="M110" s="107">
        <f>(F110+E110)*$U$10</f>
        <v>4719</v>
      </c>
      <c r="N110" s="108"/>
      <c r="O110" s="109"/>
    </row>
    <row r="111" spans="2:16" x14ac:dyDescent="0.25">
      <c r="B111" s="65"/>
      <c r="C111" s="114" t="s">
        <v>101</v>
      </c>
      <c r="D111" s="191">
        <f>+G107/(SUM(E105:E110)+SUM(G105:G110))</f>
        <v>0.56828559743309737</v>
      </c>
      <c r="O111" s="109"/>
    </row>
    <row r="112" spans="2:16" x14ac:dyDescent="0.25">
      <c r="B112" s="65"/>
      <c r="C112" s="114" t="s">
        <v>100</v>
      </c>
      <c r="D112" s="191">
        <f>+(E106+E110+E108)/(E106+E110+E108+G107)</f>
        <v>0.43171440256690263</v>
      </c>
      <c r="I112" s="114" t="s">
        <v>48</v>
      </c>
      <c r="J112" s="111">
        <f>+I110+I108+I106+J107</f>
        <v>12.473551199999999</v>
      </c>
      <c r="L112" s="110">
        <f>(F108+E108*2+E110*2+F110+F106+E106+G107+H107)*$U$11</f>
        <v>3640621.6</v>
      </c>
      <c r="N112" s="110">
        <f>+M110+M108+M106+N107</f>
        <v>2286817.7200000002</v>
      </c>
      <c r="O112" s="109"/>
    </row>
    <row r="113" spans="2:15" x14ac:dyDescent="0.25">
      <c r="B113" s="65"/>
      <c r="I113" s="114" t="s">
        <v>49</v>
      </c>
      <c r="J113" s="110"/>
      <c r="L113" s="110">
        <f>(E108*2+E110*2+E106+G107)*$U$12</f>
        <v>499575.30000000005</v>
      </c>
      <c r="N113" s="110"/>
      <c r="O113" s="109"/>
    </row>
    <row r="114" spans="2:15" x14ac:dyDescent="0.25">
      <c r="B114" s="65"/>
      <c r="I114" s="115" t="s">
        <v>86</v>
      </c>
      <c r="J114" s="116">
        <f>+J107/J112</f>
        <v>0.49272729966426881</v>
      </c>
      <c r="K114" s="113"/>
      <c r="L114" s="116">
        <f>+L107/L112</f>
        <v>0.49238860748395269</v>
      </c>
      <c r="M114" s="110"/>
      <c r="N114" s="116">
        <f>+N107/N112</f>
        <v>0.49272729966426881</v>
      </c>
      <c r="O114" s="109"/>
    </row>
    <row r="115" spans="2:15" x14ac:dyDescent="0.25">
      <c r="B115" s="65"/>
      <c r="C115" s="72"/>
      <c r="D115" s="72"/>
      <c r="E115" s="110"/>
      <c r="F115" s="110"/>
      <c r="H115" s="110"/>
      <c r="O115" s="109"/>
    </row>
    <row r="116" spans="2:15" x14ac:dyDescent="0.25">
      <c r="B116" s="65"/>
      <c r="C116" s="171" t="s">
        <v>50</v>
      </c>
      <c r="D116" s="117"/>
      <c r="E116" s="118"/>
      <c r="F116" s="110"/>
      <c r="H116" s="110"/>
      <c r="I116" s="111"/>
      <c r="J116" s="112"/>
      <c r="K116" s="113"/>
      <c r="L116" s="110"/>
      <c r="M116" s="110"/>
      <c r="N116" s="110"/>
      <c r="O116" s="109"/>
    </row>
    <row r="117" spans="2:15" x14ac:dyDescent="0.25">
      <c r="B117" s="65"/>
      <c r="C117" s="58" t="str">
        <f>+D21</f>
        <v>Passaggio di alcune comunicazione da cartacee a digitali:</v>
      </c>
      <c r="D117" s="119"/>
      <c r="E117" s="118"/>
      <c r="F117" s="110"/>
      <c r="G117" s="110"/>
      <c r="H117" s="110"/>
      <c r="I117" s="111"/>
      <c r="J117" s="111"/>
      <c r="K117" s="110"/>
      <c r="L117" s="110"/>
      <c r="M117" s="110"/>
      <c r="N117" s="110"/>
      <c r="O117" s="109"/>
    </row>
    <row r="118" spans="2:15" x14ac:dyDescent="0.25">
      <c r="B118" s="120"/>
      <c r="C118" s="178">
        <f>+D22</f>
        <v>0.2</v>
      </c>
      <c r="D118" s="121"/>
      <c r="E118" s="122"/>
      <c r="F118" s="110"/>
      <c r="G118" s="110"/>
      <c r="H118" s="110"/>
      <c r="I118" s="111"/>
      <c r="J118" s="111"/>
      <c r="K118" s="110"/>
      <c r="L118" s="110"/>
      <c r="M118" s="110"/>
      <c r="N118" s="110"/>
      <c r="O118" s="109"/>
    </row>
    <row r="119" spans="2:15" x14ac:dyDescent="0.25">
      <c r="B119" s="123"/>
      <c r="C119" s="74"/>
      <c r="D119" s="75"/>
      <c r="E119" s="166" t="s">
        <v>11</v>
      </c>
      <c r="F119" s="167"/>
      <c r="G119" s="229" t="s">
        <v>12</v>
      </c>
      <c r="H119" s="229"/>
      <c r="I119" s="226" t="s">
        <v>84</v>
      </c>
      <c r="J119" s="226"/>
      <c r="K119" s="227" t="s">
        <v>33</v>
      </c>
      <c r="L119" s="227"/>
      <c r="M119" s="228" t="s">
        <v>34</v>
      </c>
      <c r="N119" s="228"/>
      <c r="O119" s="109"/>
    </row>
    <row r="120" spans="2:15" x14ac:dyDescent="0.25">
      <c r="B120" s="123"/>
      <c r="C120" s="74"/>
      <c r="D120" s="76" t="s">
        <v>45</v>
      </c>
      <c r="E120" s="76" t="s">
        <v>10</v>
      </c>
      <c r="F120" s="76" t="s">
        <v>9</v>
      </c>
      <c r="G120" s="76" t="s">
        <v>13</v>
      </c>
      <c r="H120" s="76" t="s">
        <v>14</v>
      </c>
      <c r="I120" s="77" t="s">
        <v>68</v>
      </c>
      <c r="J120" s="77" t="s">
        <v>69</v>
      </c>
      <c r="K120" s="78" t="s">
        <v>72</v>
      </c>
      <c r="L120" s="78" t="s">
        <v>83</v>
      </c>
      <c r="M120" s="79" t="s">
        <v>70</v>
      </c>
      <c r="N120" s="79" t="s">
        <v>71</v>
      </c>
      <c r="O120" s="109"/>
    </row>
    <row r="121" spans="2:15" x14ac:dyDescent="0.25">
      <c r="B121" s="65"/>
      <c r="C121" s="125" t="s">
        <v>47</v>
      </c>
      <c r="D121" s="173">
        <f>+E121/(E121+G122+E123)</f>
        <v>0.23169753724074829</v>
      </c>
      <c r="E121" s="126">
        <f>+E106+E110-(E106+E110+G107)*$D$22</f>
        <v>54952.399999999994</v>
      </c>
      <c r="F121" s="126">
        <f>+(F106+F110)-(F106+F110+H107)*$D$22</f>
        <v>264394.88</v>
      </c>
      <c r="G121" s="82"/>
      <c r="H121" s="82"/>
      <c r="I121" s="83">
        <f>(F121+E121)*$U$9</f>
        <v>3.8321673600000006</v>
      </c>
      <c r="J121" s="83"/>
      <c r="K121" s="84">
        <f>((F121+E121)*$U$11)</f>
        <v>1117715.48</v>
      </c>
      <c r="L121" s="84"/>
      <c r="M121" s="85">
        <f>(F121+E121)*$U$10</f>
        <v>702564.01600000006</v>
      </c>
      <c r="N121" s="86"/>
      <c r="O121" s="71"/>
    </row>
    <row r="122" spans="2:15" x14ac:dyDescent="0.25">
      <c r="B122" s="65"/>
      <c r="C122" s="149" t="s">
        <v>46</v>
      </c>
      <c r="D122" s="175">
        <f>+G122/(+E121+G122+E123)</f>
        <v>0.76828138110155875</v>
      </c>
      <c r="E122" s="99"/>
      <c r="F122" s="99"/>
      <c r="G122" s="99">
        <f>+G107+(G107+E106+E110)*$D$22</f>
        <v>182215.6</v>
      </c>
      <c r="H122" s="99">
        <f>+H107+(H107+F106+F110)*$D$22</f>
        <v>537835.72</v>
      </c>
      <c r="I122" s="91"/>
      <c r="J122" s="92">
        <f>(G122+H122)*$U$9</f>
        <v>8.6406158399999988</v>
      </c>
      <c r="K122" s="93">
        <f>+G122*$U$12</f>
        <v>382652.76</v>
      </c>
      <c r="L122" s="94">
        <f>((H122+G122)*$U$11)</f>
        <v>2520179.6199999996</v>
      </c>
      <c r="M122" s="95"/>
      <c r="N122" s="96">
        <f>((H122+G122)*$U$10)</f>
        <v>1584112.9040000001</v>
      </c>
      <c r="O122" s="109"/>
    </row>
    <row r="123" spans="2:15" x14ac:dyDescent="0.25">
      <c r="B123" s="65"/>
      <c r="C123" s="129" t="s">
        <v>2</v>
      </c>
      <c r="D123" s="192">
        <f>+E123/(+E121+G123+E123)</f>
        <v>9.0979558712748427E-5</v>
      </c>
      <c r="E123" s="101">
        <v>5</v>
      </c>
      <c r="F123" s="101">
        <v>54</v>
      </c>
      <c r="G123" s="101"/>
      <c r="H123" s="101"/>
      <c r="I123" s="103">
        <f>(F123+E123*2)*$U$9</f>
        <v>7.6800000000000002E-4</v>
      </c>
      <c r="J123" s="103"/>
      <c r="K123" s="105">
        <f>(F123+E123*2)*$U$11</f>
        <v>224</v>
      </c>
      <c r="L123" s="106"/>
      <c r="M123" s="107">
        <f>(F123+E123*2)*$U$10</f>
        <v>140.80000000000001</v>
      </c>
      <c r="N123" s="108"/>
      <c r="O123" s="109"/>
    </row>
    <row r="124" spans="2:15" x14ac:dyDescent="0.25">
      <c r="B124" s="65"/>
      <c r="O124" s="109"/>
    </row>
    <row r="125" spans="2:15" x14ac:dyDescent="0.25">
      <c r="B125" s="65"/>
      <c r="I125" s="115" t="s">
        <v>86</v>
      </c>
      <c r="J125" s="116">
        <f>+J122/J112</f>
        <v>0.69271498560890976</v>
      </c>
      <c r="K125" s="113"/>
      <c r="L125" s="116">
        <f>+L122/L112</f>
        <v>0.6922388253698214</v>
      </c>
      <c r="M125" s="110"/>
      <c r="N125" s="116">
        <f>+N122/N112</f>
        <v>0.69271498560890976</v>
      </c>
      <c r="O125" s="109"/>
    </row>
    <row r="126" spans="2:15" ht="15.75" thickBot="1" x14ac:dyDescent="0.3">
      <c r="B126" s="130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7"/>
    </row>
    <row r="127" spans="2:15" x14ac:dyDescent="0.25">
      <c r="C127" s="72"/>
      <c r="D127" s="72"/>
      <c r="E127" s="110"/>
      <c r="F127" s="110"/>
      <c r="G127" s="110"/>
      <c r="H127" s="110"/>
      <c r="I127" s="111"/>
      <c r="J127" s="112"/>
      <c r="K127" s="113"/>
      <c r="L127" s="110"/>
      <c r="M127" s="110"/>
      <c r="N127" s="110"/>
      <c r="O127" s="112"/>
    </row>
    <row r="130" spans="2:15" x14ac:dyDescent="0.25">
      <c r="B130" s="53" t="s">
        <v>91</v>
      </c>
      <c r="C130" s="54"/>
      <c r="D130" s="54"/>
      <c r="E130" s="55"/>
      <c r="F130" s="55"/>
      <c r="G130" s="55"/>
      <c r="H130" s="55"/>
      <c r="I130" s="56"/>
      <c r="J130" s="56"/>
      <c r="K130" s="55"/>
      <c r="L130" s="55"/>
      <c r="M130" s="55"/>
      <c r="N130" s="55"/>
      <c r="O130" s="57"/>
    </row>
    <row r="131" spans="2:15" ht="15.75" thickBot="1" x14ac:dyDescent="0.3"/>
    <row r="132" spans="2:15" x14ac:dyDescent="0.25">
      <c r="B132" s="60"/>
      <c r="C132" s="61"/>
      <c r="D132" s="61"/>
      <c r="E132" s="62"/>
      <c r="F132" s="62"/>
      <c r="G132" s="62"/>
      <c r="H132" s="62"/>
      <c r="I132" s="63"/>
      <c r="J132" s="63"/>
      <c r="K132" s="62"/>
      <c r="L132" s="62"/>
      <c r="M132" s="62"/>
      <c r="N132" s="62"/>
      <c r="O132" s="64"/>
    </row>
    <row r="133" spans="2:15" x14ac:dyDescent="0.25">
      <c r="B133" s="65"/>
      <c r="C133" s="66" t="s">
        <v>90</v>
      </c>
      <c r="D133" s="67"/>
      <c r="E133" s="68"/>
      <c r="F133" s="68"/>
      <c r="G133" s="68"/>
      <c r="H133" s="68"/>
      <c r="I133" s="69"/>
      <c r="J133" s="69"/>
      <c r="K133" s="68"/>
      <c r="L133" s="68"/>
      <c r="M133" s="68"/>
      <c r="N133" s="70"/>
      <c r="O133" s="71"/>
    </row>
    <row r="134" spans="2:15" x14ac:dyDescent="0.25">
      <c r="B134" s="65"/>
      <c r="C134" s="72"/>
      <c r="D134" s="72"/>
      <c r="E134" s="110"/>
      <c r="F134" s="110"/>
      <c r="G134" s="110"/>
      <c r="H134" s="110"/>
      <c r="I134" s="111"/>
      <c r="J134" s="112"/>
      <c r="K134" s="113"/>
      <c r="L134" s="110"/>
      <c r="M134" s="110"/>
      <c r="N134" s="110"/>
      <c r="O134" s="71"/>
    </row>
    <row r="135" spans="2:15" x14ac:dyDescent="0.25">
      <c r="B135" s="65"/>
      <c r="C135" s="74" t="s">
        <v>44</v>
      </c>
      <c r="D135" s="75"/>
      <c r="E135" s="166" t="s">
        <v>11</v>
      </c>
      <c r="F135" s="167"/>
      <c r="G135" s="229" t="s">
        <v>12</v>
      </c>
      <c r="H135" s="229"/>
      <c r="I135" s="226" t="s">
        <v>84</v>
      </c>
      <c r="J135" s="226"/>
      <c r="K135" s="227" t="s">
        <v>33</v>
      </c>
      <c r="L135" s="227"/>
      <c r="M135" s="228" t="s">
        <v>34</v>
      </c>
      <c r="N135" s="228"/>
      <c r="O135" s="71"/>
    </row>
    <row r="136" spans="2:15" x14ac:dyDescent="0.25">
      <c r="B136" s="65"/>
      <c r="C136" s="74"/>
      <c r="D136" s="76" t="s">
        <v>45</v>
      </c>
      <c r="E136" s="76" t="s">
        <v>10</v>
      </c>
      <c r="F136" s="76" t="s">
        <v>9</v>
      </c>
      <c r="G136" s="76" t="s">
        <v>13</v>
      </c>
      <c r="H136" s="76" t="s">
        <v>14</v>
      </c>
      <c r="I136" s="77" t="s">
        <v>68</v>
      </c>
      <c r="J136" s="77" t="s">
        <v>69</v>
      </c>
      <c r="K136" s="78" t="s">
        <v>72</v>
      </c>
      <c r="L136" s="78" t="s">
        <v>83</v>
      </c>
      <c r="M136" s="79" t="s">
        <v>70</v>
      </c>
      <c r="N136" s="79" t="s">
        <v>71</v>
      </c>
      <c r="O136" s="71"/>
    </row>
    <row r="137" spans="2:15" x14ac:dyDescent="0.25">
      <c r="B137" s="65"/>
      <c r="C137" s="80" t="s">
        <v>1</v>
      </c>
      <c r="D137" s="176"/>
      <c r="E137" s="82"/>
      <c r="F137" s="82"/>
      <c r="G137" s="82"/>
      <c r="H137" s="82"/>
      <c r="I137" s="83"/>
      <c r="J137" s="83"/>
      <c r="K137" s="84"/>
      <c r="L137" s="84"/>
      <c r="M137" s="85"/>
      <c r="N137" s="86"/>
      <c r="O137" s="71"/>
    </row>
    <row r="138" spans="2:15" x14ac:dyDescent="0.25">
      <c r="B138" s="65"/>
      <c r="C138" s="87" t="s">
        <v>3</v>
      </c>
      <c r="D138" s="175"/>
      <c r="E138" s="88"/>
      <c r="F138" s="88"/>
      <c r="G138" s="89">
        <v>28560</v>
      </c>
      <c r="H138" s="90">
        <v>71400</v>
      </c>
      <c r="I138" s="91"/>
      <c r="J138" s="92">
        <f>(G138+H138)*$U$9</f>
        <v>1.1995199999999999</v>
      </c>
      <c r="K138" s="93">
        <f>G138*$U$12</f>
        <v>59976</v>
      </c>
      <c r="L138" s="94">
        <f>(H138+G138)*$U$11</f>
        <v>349860</v>
      </c>
      <c r="M138" s="95"/>
      <c r="N138" s="96">
        <f>(H138+G138)*$U$10</f>
        <v>219912.00000000003</v>
      </c>
      <c r="O138" s="71"/>
    </row>
    <row r="139" spans="2:15" x14ac:dyDescent="0.25">
      <c r="B139" s="65"/>
      <c r="C139" s="97" t="s">
        <v>0</v>
      </c>
      <c r="D139" s="177"/>
      <c r="E139" s="89"/>
      <c r="F139" s="89"/>
      <c r="G139" s="88"/>
      <c r="H139" s="89"/>
      <c r="I139" s="91"/>
      <c r="J139" s="91"/>
      <c r="K139" s="94"/>
      <c r="L139" s="94"/>
      <c r="M139" s="95"/>
      <c r="N139" s="96"/>
      <c r="O139" s="71"/>
    </row>
    <row r="140" spans="2:15" x14ac:dyDescent="0.25">
      <c r="B140" s="65"/>
      <c r="C140" s="100" t="s">
        <v>3</v>
      </c>
      <c r="D140" s="174"/>
      <c r="E140" s="101">
        <v>213665</v>
      </c>
      <c r="F140" s="101">
        <v>875888</v>
      </c>
      <c r="G140" s="102"/>
      <c r="H140" s="150"/>
      <c r="I140" s="103">
        <f>(F140+E140)*$U$9</f>
        <v>13.074636</v>
      </c>
      <c r="J140" s="104"/>
      <c r="K140" s="105">
        <f>(F140+E140)*$U$11</f>
        <v>3813435.5</v>
      </c>
      <c r="L140" s="106"/>
      <c r="M140" s="107">
        <f>(F140+E140)*$U$10</f>
        <v>2397016.6</v>
      </c>
      <c r="N140" s="108"/>
      <c r="O140" s="71"/>
    </row>
    <row r="141" spans="2:15" x14ac:dyDescent="0.25">
      <c r="B141" s="65"/>
      <c r="C141" s="114" t="s">
        <v>101</v>
      </c>
      <c r="D141" s="191">
        <f>+G138/(E140+G138)</f>
        <v>0.11790690473733099</v>
      </c>
      <c r="E141" s="110"/>
      <c r="F141" s="110"/>
      <c r="H141" s="110"/>
      <c r="I141" s="111"/>
      <c r="J141" s="112"/>
      <c r="K141" s="113"/>
      <c r="L141" s="110"/>
      <c r="M141" s="110"/>
      <c r="N141" s="110"/>
      <c r="O141" s="71"/>
    </row>
    <row r="142" spans="2:15" x14ac:dyDescent="0.25">
      <c r="B142" s="65"/>
      <c r="C142" s="114" t="s">
        <v>100</v>
      </c>
      <c r="D142" s="191">
        <f>+E140/(E140+G138)</f>
        <v>0.88209309526266899</v>
      </c>
      <c r="E142" s="110"/>
      <c r="F142" s="110"/>
      <c r="I142" s="114" t="s">
        <v>48</v>
      </c>
      <c r="J142" s="110">
        <f>+J138+I140</f>
        <v>14.274156</v>
      </c>
      <c r="L142" s="110">
        <f>+(G138+H138+E140+F140)*U11</f>
        <v>4163295.5</v>
      </c>
      <c r="N142" s="110">
        <f>+N138+M140</f>
        <v>2616928.6</v>
      </c>
      <c r="O142" s="71"/>
    </row>
    <row r="143" spans="2:15" x14ac:dyDescent="0.25">
      <c r="B143" s="65"/>
      <c r="C143" s="72"/>
      <c r="D143" s="72"/>
      <c r="E143" s="110"/>
      <c r="F143" s="110"/>
      <c r="I143" s="114" t="s">
        <v>49</v>
      </c>
      <c r="J143" s="110"/>
      <c r="L143" s="110">
        <f>+(G138+E140)*U12</f>
        <v>508672.5</v>
      </c>
      <c r="N143" s="110"/>
      <c r="O143" s="71"/>
    </row>
    <row r="144" spans="2:15" x14ac:dyDescent="0.25">
      <c r="B144" s="65"/>
      <c r="C144" s="72"/>
      <c r="D144" s="72"/>
      <c r="E144" s="110"/>
      <c r="F144" s="110"/>
      <c r="I144" s="115" t="s">
        <v>86</v>
      </c>
      <c r="J144" s="116">
        <f>+J138/J142</f>
        <v>8.4034390544701909E-2</v>
      </c>
      <c r="K144" s="113"/>
      <c r="L144" s="116">
        <f>+L138/L142</f>
        <v>8.4034390544701909E-2</v>
      </c>
      <c r="M144" s="110"/>
      <c r="N144" s="116">
        <f>+N138/N142</f>
        <v>8.4034390544701909E-2</v>
      </c>
      <c r="O144" s="71"/>
    </row>
    <row r="145" spans="2:15" x14ac:dyDescent="0.25">
      <c r="B145" s="65"/>
      <c r="C145" s="72"/>
      <c r="D145" s="72"/>
      <c r="E145" s="110"/>
      <c r="F145" s="110"/>
      <c r="H145" s="110"/>
      <c r="O145" s="71"/>
    </row>
    <row r="146" spans="2:15" x14ac:dyDescent="0.25">
      <c r="B146" s="65"/>
      <c r="C146" s="171" t="s">
        <v>50</v>
      </c>
      <c r="D146" s="117"/>
      <c r="E146" s="118"/>
      <c r="F146" s="110"/>
      <c r="H146" s="110"/>
      <c r="I146" s="111"/>
      <c r="J146" s="112"/>
      <c r="K146" s="113"/>
      <c r="L146" s="110"/>
      <c r="M146" s="110"/>
      <c r="N146" s="110"/>
      <c r="O146" s="71"/>
    </row>
    <row r="147" spans="2:15" x14ac:dyDescent="0.25">
      <c r="B147" s="65"/>
      <c r="C147" s="58" t="str">
        <f>+D24</f>
        <v>Passaggio di alcune comunicazione da cartacee a digitali:</v>
      </c>
      <c r="D147" s="119"/>
      <c r="E147" s="118"/>
      <c r="F147" s="110"/>
      <c r="G147" s="110"/>
      <c r="H147" s="110"/>
      <c r="I147" s="111"/>
      <c r="J147" s="111"/>
      <c r="K147" s="110"/>
      <c r="L147" s="110"/>
      <c r="M147" s="110"/>
      <c r="N147" s="110"/>
      <c r="O147" s="71"/>
    </row>
    <row r="148" spans="2:15" x14ac:dyDescent="0.25">
      <c r="B148" s="65"/>
      <c r="C148" s="178">
        <f>+D25</f>
        <v>0.1</v>
      </c>
      <c r="D148" s="121"/>
      <c r="E148" s="122"/>
      <c r="F148" s="110"/>
      <c r="G148" s="110"/>
      <c r="H148" s="110"/>
      <c r="I148" s="111"/>
      <c r="J148" s="111"/>
      <c r="K148" s="110"/>
      <c r="L148" s="110"/>
      <c r="M148" s="110"/>
      <c r="N148" s="110"/>
      <c r="O148" s="71"/>
    </row>
    <row r="149" spans="2:15" x14ac:dyDescent="0.25">
      <c r="B149" s="65"/>
      <c r="C149" s="74"/>
      <c r="D149" s="75"/>
      <c r="E149" s="166" t="s">
        <v>11</v>
      </c>
      <c r="F149" s="167"/>
      <c r="G149" s="229" t="s">
        <v>12</v>
      </c>
      <c r="H149" s="229"/>
      <c r="I149" s="226" t="s">
        <v>84</v>
      </c>
      <c r="J149" s="226"/>
      <c r="K149" s="227" t="s">
        <v>33</v>
      </c>
      <c r="L149" s="227"/>
      <c r="M149" s="228" t="s">
        <v>34</v>
      </c>
      <c r="N149" s="228"/>
      <c r="O149" s="71"/>
    </row>
    <row r="150" spans="2:15" x14ac:dyDescent="0.25">
      <c r="B150" s="65"/>
      <c r="C150" s="124"/>
      <c r="D150" s="76" t="s">
        <v>45</v>
      </c>
      <c r="E150" s="76" t="s">
        <v>10</v>
      </c>
      <c r="F150" s="76" t="s">
        <v>9</v>
      </c>
      <c r="G150" s="76" t="s">
        <v>13</v>
      </c>
      <c r="H150" s="76" t="s">
        <v>14</v>
      </c>
      <c r="I150" s="77" t="s">
        <v>68</v>
      </c>
      <c r="J150" s="77" t="s">
        <v>69</v>
      </c>
      <c r="K150" s="78" t="s">
        <v>72</v>
      </c>
      <c r="L150" s="78" t="s">
        <v>83</v>
      </c>
      <c r="M150" s="79" t="s">
        <v>70</v>
      </c>
      <c r="N150" s="79" t="s">
        <v>71</v>
      </c>
      <c r="O150" s="71"/>
    </row>
    <row r="151" spans="2:15" x14ac:dyDescent="0.25">
      <c r="B151" s="65"/>
      <c r="C151" s="125" t="s">
        <v>46</v>
      </c>
      <c r="D151" s="173">
        <f>+G151/(G151+E152)</f>
        <v>0.21790690473733099</v>
      </c>
      <c r="E151" s="82"/>
      <c r="F151" s="82"/>
      <c r="G151" s="126">
        <f>+G138+(E140+G138)*$D$25</f>
        <v>52782.5</v>
      </c>
      <c r="H151" s="126">
        <f>+H138+(F140+H138)*$D$25</f>
        <v>166128.79999999999</v>
      </c>
      <c r="I151" s="83"/>
      <c r="J151" s="127">
        <f>(G151+H151)*$U$9</f>
        <v>2.6269355999999999</v>
      </c>
      <c r="K151" s="128">
        <f>(G151*$U$12)</f>
        <v>110843.25</v>
      </c>
      <c r="L151" s="84">
        <f>((H151+G151)*$U$11)</f>
        <v>766189.54999999993</v>
      </c>
      <c r="M151" s="85"/>
      <c r="N151" s="86">
        <f>((H151+G151)*$U$10)</f>
        <v>481604.86</v>
      </c>
      <c r="O151" s="71"/>
    </row>
    <row r="152" spans="2:15" x14ac:dyDescent="0.25">
      <c r="B152" s="65"/>
      <c r="C152" s="129" t="s">
        <v>54</v>
      </c>
      <c r="D152" s="174">
        <f>+E152/(E152+G151)</f>
        <v>0.78209309526266901</v>
      </c>
      <c r="E152" s="101">
        <f>+E140-(E140+G138)*$D$25</f>
        <v>189442.5</v>
      </c>
      <c r="F152" s="101">
        <f>+F140-(F140+H138)*$D$25</f>
        <v>781159.2</v>
      </c>
      <c r="G152" s="102"/>
      <c r="H152" s="101"/>
      <c r="I152" s="103">
        <f>(F152+E152)*$U$9</f>
        <v>11.6472204</v>
      </c>
      <c r="J152" s="104"/>
      <c r="K152" s="105">
        <f>(F152+E152)*$U$11</f>
        <v>3397105.9499999997</v>
      </c>
      <c r="L152" s="106"/>
      <c r="M152" s="107">
        <f>(F152+E152)*$U$10</f>
        <v>2135323.7400000002</v>
      </c>
      <c r="N152" s="108"/>
      <c r="O152" s="71"/>
    </row>
    <row r="153" spans="2:15" x14ac:dyDescent="0.25">
      <c r="B153" s="65"/>
      <c r="O153" s="109"/>
    </row>
    <row r="154" spans="2:15" x14ac:dyDescent="0.25">
      <c r="B154" s="65"/>
      <c r="I154" s="115" t="s">
        <v>86</v>
      </c>
      <c r="J154" s="116">
        <f>J151/J142</f>
        <v>0.18403439054470191</v>
      </c>
      <c r="K154" s="113"/>
      <c r="L154" s="116">
        <f>+L151/L142</f>
        <v>0.18403439054470189</v>
      </c>
      <c r="M154" s="110"/>
      <c r="N154" s="116">
        <f>N151/N142</f>
        <v>0.18403439054470189</v>
      </c>
      <c r="O154" s="109"/>
    </row>
    <row r="155" spans="2:15" ht="15.75" thickBot="1" x14ac:dyDescent="0.3">
      <c r="B155" s="130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7"/>
    </row>
    <row r="156" spans="2:15" x14ac:dyDescent="0.25">
      <c r="C156" s="72"/>
      <c r="D156" s="72"/>
      <c r="E156" s="110"/>
      <c r="F156" s="110"/>
      <c r="H156" s="110"/>
      <c r="I156" s="111"/>
      <c r="J156" s="112"/>
      <c r="K156" s="113"/>
      <c r="L156" s="110"/>
      <c r="M156" s="110"/>
      <c r="N156" s="110"/>
      <c r="O156" s="112"/>
    </row>
    <row r="157" spans="2:15" x14ac:dyDescent="0.25">
      <c r="C157" s="72"/>
      <c r="D157" s="72"/>
      <c r="E157" s="110"/>
      <c r="F157" s="110"/>
      <c r="H157" s="110"/>
      <c r="I157" s="111"/>
      <c r="J157" s="112"/>
      <c r="K157" s="113"/>
      <c r="L157" s="110"/>
      <c r="M157" s="110"/>
      <c r="N157" s="110"/>
      <c r="O157" s="112"/>
    </row>
    <row r="158" spans="2:15" ht="15.75" thickBot="1" x14ac:dyDescent="0.3">
      <c r="C158" s="72"/>
      <c r="D158" s="72"/>
      <c r="E158" s="110"/>
      <c r="F158" s="110"/>
      <c r="H158" s="110"/>
      <c r="I158" s="111"/>
      <c r="J158" s="112"/>
      <c r="K158" s="113"/>
      <c r="L158" s="110"/>
      <c r="M158" s="110"/>
      <c r="N158" s="110"/>
      <c r="O158" s="112"/>
    </row>
    <row r="159" spans="2:15" x14ac:dyDescent="0.25">
      <c r="B159" s="60"/>
      <c r="C159" s="138"/>
      <c r="D159" s="138"/>
      <c r="E159" s="139"/>
      <c r="F159" s="139"/>
      <c r="G159" s="140"/>
      <c r="H159" s="139"/>
      <c r="I159" s="141"/>
      <c r="J159" s="142"/>
      <c r="K159" s="143"/>
      <c r="L159" s="139"/>
      <c r="M159" s="139"/>
      <c r="N159" s="139"/>
      <c r="O159" s="144"/>
    </row>
    <row r="160" spans="2:15" x14ac:dyDescent="0.25">
      <c r="B160" s="65"/>
      <c r="C160" s="66" t="s">
        <v>92</v>
      </c>
      <c r="D160" s="67"/>
      <c r="E160" s="68"/>
      <c r="F160" s="68"/>
      <c r="G160" s="68"/>
      <c r="H160" s="68"/>
      <c r="I160" s="69"/>
      <c r="J160" s="69"/>
      <c r="K160" s="68"/>
      <c r="L160" s="68"/>
      <c r="M160" s="68"/>
      <c r="N160" s="70"/>
      <c r="O160" s="109"/>
    </row>
    <row r="161" spans="2:15" x14ac:dyDescent="0.25">
      <c r="B161" s="65"/>
      <c r="C161" s="73"/>
      <c r="D161" s="73"/>
      <c r="E161" s="73"/>
      <c r="F161" s="73"/>
      <c r="G161" s="73"/>
      <c r="H161" s="73"/>
      <c r="O161" s="71"/>
    </row>
    <row r="162" spans="2:15" x14ac:dyDescent="0.25">
      <c r="B162" s="65"/>
      <c r="C162" s="74" t="s">
        <v>44</v>
      </c>
      <c r="D162" s="75"/>
      <c r="E162" s="166" t="s">
        <v>11</v>
      </c>
      <c r="F162" s="167"/>
      <c r="G162" s="229" t="s">
        <v>12</v>
      </c>
      <c r="H162" s="229"/>
      <c r="I162" s="226" t="s">
        <v>84</v>
      </c>
      <c r="J162" s="226"/>
      <c r="K162" s="227" t="s">
        <v>33</v>
      </c>
      <c r="L162" s="227"/>
      <c r="M162" s="228" t="s">
        <v>34</v>
      </c>
      <c r="N162" s="228"/>
      <c r="O162" s="109"/>
    </row>
    <row r="163" spans="2:15" x14ac:dyDescent="0.25">
      <c r="B163" s="65"/>
      <c r="C163" s="74"/>
      <c r="D163" s="74"/>
      <c r="E163" s="76" t="s">
        <v>10</v>
      </c>
      <c r="F163" s="76" t="s">
        <v>9</v>
      </c>
      <c r="G163" s="76" t="s">
        <v>13</v>
      </c>
      <c r="H163" s="76" t="s">
        <v>14</v>
      </c>
      <c r="I163" s="77" t="s">
        <v>68</v>
      </c>
      <c r="J163" s="77" t="s">
        <v>69</v>
      </c>
      <c r="K163" s="78" t="s">
        <v>72</v>
      </c>
      <c r="L163" s="78" t="s">
        <v>83</v>
      </c>
      <c r="M163" s="79" t="s">
        <v>70</v>
      </c>
      <c r="N163" s="79" t="s">
        <v>71</v>
      </c>
      <c r="O163" s="109"/>
    </row>
    <row r="164" spans="2:15" x14ac:dyDescent="0.25">
      <c r="B164" s="65"/>
      <c r="C164" s="80" t="s">
        <v>1</v>
      </c>
      <c r="D164" s="82"/>
      <c r="E164" s="126"/>
      <c r="F164" s="126"/>
      <c r="G164" s="147"/>
      <c r="H164" s="147"/>
      <c r="I164" s="83"/>
      <c r="J164" s="83"/>
      <c r="K164" s="84"/>
      <c r="L164" s="84"/>
      <c r="M164" s="85"/>
      <c r="N164" s="86"/>
      <c r="O164" s="109"/>
    </row>
    <row r="165" spans="2:15" x14ac:dyDescent="0.25">
      <c r="B165" s="65"/>
      <c r="C165" s="87" t="s">
        <v>2</v>
      </c>
      <c r="D165" s="145"/>
      <c r="E165" s="99">
        <v>4249</v>
      </c>
      <c r="F165" s="99">
        <v>8501</v>
      </c>
      <c r="G165" s="89"/>
      <c r="H165" s="89"/>
      <c r="I165" s="91">
        <f>(F165+E165*2)*$U$9</f>
        <v>0.203988</v>
      </c>
      <c r="J165" s="91"/>
      <c r="K165" s="93">
        <f>(F165+E165*2)*$U$11</f>
        <v>59496.5</v>
      </c>
      <c r="L165" s="94"/>
      <c r="M165" s="95">
        <f>(F165+E165*2)*$U$10</f>
        <v>37397.800000000003</v>
      </c>
      <c r="N165" s="96"/>
      <c r="O165" s="109"/>
    </row>
    <row r="166" spans="2:15" x14ac:dyDescent="0.25">
      <c r="B166" s="65"/>
      <c r="C166" s="97" t="s">
        <v>0</v>
      </c>
      <c r="D166" s="88"/>
      <c r="E166" s="99"/>
      <c r="F166" s="99"/>
      <c r="G166" s="89"/>
      <c r="H166" s="89"/>
      <c r="I166" s="91"/>
      <c r="J166" s="91"/>
      <c r="K166" s="94"/>
      <c r="L166" s="94"/>
      <c r="M166" s="95"/>
      <c r="N166" s="96"/>
      <c r="O166" s="109"/>
    </row>
    <row r="167" spans="2:15" x14ac:dyDescent="0.25">
      <c r="B167" s="65"/>
      <c r="C167" s="100" t="s">
        <v>2</v>
      </c>
      <c r="D167" s="146"/>
      <c r="E167" s="101">
        <v>22874</v>
      </c>
      <c r="F167" s="101">
        <v>46351</v>
      </c>
      <c r="G167" s="150"/>
      <c r="H167" s="150"/>
      <c r="I167" s="103">
        <f>(F167+E167*2)*$U$9</f>
        <v>1.1051880000000001</v>
      </c>
      <c r="J167" s="103"/>
      <c r="K167" s="105">
        <f>(F167+E167*2)*$U$11</f>
        <v>322346.5</v>
      </c>
      <c r="L167" s="106"/>
      <c r="M167" s="107">
        <f>(F167+E167*2)*$U$10</f>
        <v>202617.80000000002</v>
      </c>
      <c r="N167" s="108"/>
      <c r="O167" s="109"/>
    </row>
    <row r="168" spans="2:15" x14ac:dyDescent="0.25">
      <c r="B168" s="65"/>
      <c r="C168" s="114" t="s">
        <v>101</v>
      </c>
      <c r="D168" s="191"/>
      <c r="O168" s="109"/>
    </row>
    <row r="169" spans="2:15" x14ac:dyDescent="0.25">
      <c r="B169" s="65"/>
      <c r="C169" s="114" t="s">
        <v>100</v>
      </c>
      <c r="D169" s="191">
        <f>+(E165+E167)/(E165+E167)</f>
        <v>1</v>
      </c>
      <c r="I169" s="114" t="s">
        <v>48</v>
      </c>
      <c r="J169" s="111">
        <f>+I167+I165</f>
        <v>1.3091760000000001</v>
      </c>
      <c r="L169" s="110">
        <f>((F165+E165*2+E167*2+F167)*$U$11)</f>
        <v>381843</v>
      </c>
      <c r="N169" s="110">
        <f>+M167+M165</f>
        <v>240015.60000000003</v>
      </c>
      <c r="O169" s="109"/>
    </row>
    <row r="170" spans="2:15" x14ac:dyDescent="0.25">
      <c r="B170" s="65"/>
      <c r="I170" s="114" t="s">
        <v>49</v>
      </c>
      <c r="J170" s="110"/>
      <c r="L170" s="110">
        <f>(E165*2+E167*2)*$U$12</f>
        <v>113916.6</v>
      </c>
      <c r="N170" s="110"/>
      <c r="O170" s="109"/>
    </row>
    <row r="171" spans="2:15" x14ac:dyDescent="0.25">
      <c r="B171" s="65"/>
      <c r="I171" s="115" t="s">
        <v>86</v>
      </c>
      <c r="J171" s="116">
        <f>(J165+J167)/J169</f>
        <v>0</v>
      </c>
      <c r="K171" s="113"/>
      <c r="L171" s="116">
        <f>(L165+L167)/L169</f>
        <v>0</v>
      </c>
      <c r="M171" s="110"/>
      <c r="N171" s="116">
        <f>(N165+N167)/N169</f>
        <v>0</v>
      </c>
      <c r="O171" s="109"/>
    </row>
    <row r="172" spans="2:15" x14ac:dyDescent="0.25">
      <c r="B172" s="65"/>
      <c r="C172" s="72"/>
      <c r="D172" s="72"/>
      <c r="E172" s="110"/>
      <c r="F172" s="110"/>
      <c r="H172" s="110"/>
      <c r="O172" s="109"/>
    </row>
    <row r="173" spans="2:15" x14ac:dyDescent="0.25">
      <c r="B173" s="65"/>
      <c r="C173" s="171" t="s">
        <v>50</v>
      </c>
      <c r="D173" s="117"/>
      <c r="E173" s="118"/>
      <c r="F173" s="110"/>
      <c r="H173" s="110"/>
      <c r="I173" s="111"/>
      <c r="J173" s="112"/>
      <c r="K173" s="113"/>
      <c r="L173" s="110"/>
      <c r="M173" s="110"/>
      <c r="N173" s="110"/>
      <c r="O173" s="109"/>
    </row>
    <row r="174" spans="2:15" x14ac:dyDescent="0.25">
      <c r="B174" s="65"/>
      <c r="C174" s="58" t="str">
        <f>+D27</f>
        <v>Sostituzione di alcune Raccomandate AR con tNotice:</v>
      </c>
      <c r="D174" s="119"/>
      <c r="E174" s="118"/>
      <c r="F174" s="110"/>
      <c r="G174" s="110"/>
      <c r="H174" s="110"/>
      <c r="I174" s="111"/>
      <c r="J174" s="111"/>
      <c r="K174" s="110"/>
      <c r="L174" s="110"/>
      <c r="M174" s="110"/>
      <c r="N174" s="110"/>
      <c r="O174" s="109"/>
    </row>
    <row r="175" spans="2:15" x14ac:dyDescent="0.25">
      <c r="B175" s="120"/>
      <c r="C175" s="178">
        <f>+D28</f>
        <v>0.4</v>
      </c>
      <c r="D175" s="121"/>
      <c r="E175" s="122"/>
      <c r="F175" s="110"/>
      <c r="G175" s="110"/>
      <c r="H175" s="110"/>
      <c r="I175" s="111"/>
      <c r="J175" s="111"/>
      <c r="K175" s="110"/>
      <c r="L175" s="110"/>
      <c r="M175" s="110"/>
      <c r="N175" s="110"/>
      <c r="O175" s="109"/>
    </row>
    <row r="176" spans="2:15" x14ac:dyDescent="0.25">
      <c r="B176" s="123"/>
      <c r="C176" s="74"/>
      <c r="D176" s="75"/>
      <c r="E176" s="166" t="s">
        <v>11</v>
      </c>
      <c r="F176" s="167"/>
      <c r="G176" s="229" t="s">
        <v>12</v>
      </c>
      <c r="H176" s="229"/>
      <c r="I176" s="226" t="s">
        <v>84</v>
      </c>
      <c r="J176" s="226"/>
      <c r="K176" s="227" t="s">
        <v>33</v>
      </c>
      <c r="L176" s="227"/>
      <c r="M176" s="228" t="s">
        <v>34</v>
      </c>
      <c r="N176" s="228"/>
      <c r="O176" s="109"/>
    </row>
    <row r="177" spans="2:15" x14ac:dyDescent="0.25">
      <c r="B177" s="123"/>
      <c r="C177" s="74"/>
      <c r="D177" s="76" t="s">
        <v>45</v>
      </c>
      <c r="E177" s="76" t="s">
        <v>10</v>
      </c>
      <c r="F177" s="76" t="s">
        <v>9</v>
      </c>
      <c r="G177" s="76" t="s">
        <v>13</v>
      </c>
      <c r="H177" s="76" t="s">
        <v>14</v>
      </c>
      <c r="I177" s="77" t="s">
        <v>68</v>
      </c>
      <c r="J177" s="77" t="s">
        <v>69</v>
      </c>
      <c r="K177" s="78" t="s">
        <v>72</v>
      </c>
      <c r="L177" s="78" t="s">
        <v>83</v>
      </c>
      <c r="M177" s="79" t="s">
        <v>70</v>
      </c>
      <c r="N177" s="79" t="s">
        <v>71</v>
      </c>
      <c r="O177" s="109"/>
    </row>
    <row r="178" spans="2:15" x14ac:dyDescent="0.25">
      <c r="B178" s="65"/>
      <c r="C178" s="125" t="s">
        <v>2</v>
      </c>
      <c r="D178" s="173">
        <f>+E178/(E178+G179)</f>
        <v>0.6</v>
      </c>
      <c r="E178" s="126">
        <f>+(E165+E167)*(1-$D$28)</f>
        <v>16273.8</v>
      </c>
      <c r="F178" s="126">
        <f>+(F165+F167)*(1-D28)</f>
        <v>32911.199999999997</v>
      </c>
      <c r="G178" s="126"/>
      <c r="H178" s="147"/>
      <c r="I178" s="83">
        <f>(F178+E178*2)*$U$9</f>
        <v>0.78550559999999992</v>
      </c>
      <c r="J178" s="127"/>
      <c r="K178" s="128">
        <f>(F178+E178*2)*$U$11</f>
        <v>229105.8</v>
      </c>
      <c r="L178" s="84"/>
      <c r="M178" s="85">
        <f>(F178+E178*2)*$U$10</f>
        <v>144009.36000000002</v>
      </c>
      <c r="N178" s="86"/>
      <c r="O178" s="109"/>
    </row>
    <row r="179" spans="2:15" x14ac:dyDescent="0.25">
      <c r="B179" s="65"/>
      <c r="C179" s="129" t="s">
        <v>53</v>
      </c>
      <c r="D179" s="174">
        <f>+G179/(G179+E178)</f>
        <v>0.4</v>
      </c>
      <c r="E179" s="101"/>
      <c r="F179" s="101"/>
      <c r="G179" s="101">
        <f>+(E165+E167)*D28</f>
        <v>10849.2</v>
      </c>
      <c r="H179" s="101">
        <f>+(F165+F167)*D28</f>
        <v>21940.800000000003</v>
      </c>
      <c r="I179" s="103"/>
      <c r="J179" s="104">
        <f>(G179*2+H179)*$U$9</f>
        <v>0.52367040000000009</v>
      </c>
      <c r="K179" s="105">
        <f>(G179*2)*$U$12</f>
        <v>45566.640000000007</v>
      </c>
      <c r="L179" s="106">
        <f>((H179+G179*2)*$U$11)</f>
        <v>152737.20000000001</v>
      </c>
      <c r="M179" s="107"/>
      <c r="N179" s="108">
        <f>((H179+G179*2)*$U$10)</f>
        <v>96006.24000000002</v>
      </c>
      <c r="O179" s="109"/>
    </row>
    <row r="180" spans="2:15" x14ac:dyDescent="0.25">
      <c r="B180" s="65"/>
      <c r="O180" s="109"/>
    </row>
    <row r="181" spans="2:15" x14ac:dyDescent="0.25">
      <c r="B181" s="65"/>
      <c r="I181" s="115" t="s">
        <v>86</v>
      </c>
      <c r="J181" s="116">
        <f>J179/J169</f>
        <v>0.4</v>
      </c>
      <c r="K181" s="113"/>
      <c r="L181" s="116">
        <f>L179/L169</f>
        <v>0.4</v>
      </c>
      <c r="M181" s="110"/>
      <c r="N181" s="116">
        <f>N179/N169</f>
        <v>0.4</v>
      </c>
      <c r="O181" s="109"/>
    </row>
    <row r="182" spans="2:15" ht="15.75" thickBot="1" x14ac:dyDescent="0.3">
      <c r="B182" s="130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7"/>
    </row>
    <row r="185" spans="2:15" x14ac:dyDescent="0.25">
      <c r="B185" s="189" t="s">
        <v>98</v>
      </c>
    </row>
    <row r="187" spans="2:15" x14ac:dyDescent="0.25">
      <c r="C187" s="66" t="s">
        <v>94</v>
      </c>
      <c r="D187" s="67"/>
      <c r="E187" s="68"/>
      <c r="F187" s="68"/>
      <c r="G187" s="68"/>
      <c r="H187" s="68"/>
      <c r="I187" s="69"/>
      <c r="J187" s="69"/>
      <c r="K187" s="68"/>
      <c r="L187" s="68"/>
      <c r="M187" s="68"/>
      <c r="N187" s="70"/>
    </row>
    <row r="188" spans="2:15" x14ac:dyDescent="0.25">
      <c r="C188" s="73"/>
      <c r="D188" s="73"/>
      <c r="E188" s="73"/>
      <c r="F188" s="73"/>
      <c r="G188" s="73"/>
      <c r="H188" s="73"/>
    </row>
    <row r="189" spans="2:15" x14ac:dyDescent="0.25">
      <c r="C189" s="74" t="s">
        <v>44</v>
      </c>
      <c r="D189" s="75"/>
      <c r="E189" s="166" t="s">
        <v>11</v>
      </c>
      <c r="F189" s="167"/>
      <c r="G189" s="229" t="s">
        <v>12</v>
      </c>
      <c r="H189" s="229"/>
      <c r="I189" s="226" t="s">
        <v>84</v>
      </c>
      <c r="J189" s="226"/>
      <c r="K189" s="227" t="s">
        <v>33</v>
      </c>
      <c r="L189" s="227"/>
      <c r="M189" s="228" t="s">
        <v>34</v>
      </c>
      <c r="N189" s="228"/>
    </row>
    <row r="190" spans="2:15" x14ac:dyDescent="0.25">
      <c r="C190" s="74"/>
      <c r="D190" s="74"/>
      <c r="E190" s="76" t="s">
        <v>10</v>
      </c>
      <c r="F190" s="76" t="s">
        <v>9</v>
      </c>
      <c r="G190" s="76" t="s">
        <v>13</v>
      </c>
      <c r="H190" s="76" t="s">
        <v>14</v>
      </c>
      <c r="I190" s="77" t="s">
        <v>68</v>
      </c>
      <c r="J190" s="77" t="s">
        <v>69</v>
      </c>
      <c r="K190" s="78" t="s">
        <v>72</v>
      </c>
      <c r="L190" s="78" t="s">
        <v>83</v>
      </c>
      <c r="M190" s="79" t="s">
        <v>70</v>
      </c>
      <c r="N190" s="79" t="s">
        <v>71</v>
      </c>
    </row>
    <row r="191" spans="2:15" x14ac:dyDescent="0.25">
      <c r="C191" s="151" t="s">
        <v>1</v>
      </c>
      <c r="D191" s="151"/>
      <c r="E191" s="152"/>
      <c r="F191" s="152"/>
      <c r="G191" s="74"/>
      <c r="H191" s="74"/>
      <c r="I191" s="153"/>
      <c r="J191" s="153"/>
      <c r="K191" s="154"/>
      <c r="L191" s="154"/>
      <c r="M191" s="154"/>
      <c r="N191" s="154"/>
    </row>
    <row r="192" spans="2:15" x14ac:dyDescent="0.25">
      <c r="C192" s="124" t="s">
        <v>3</v>
      </c>
      <c r="D192" s="124"/>
      <c r="E192" s="74"/>
      <c r="F192" s="74"/>
      <c r="G192" s="154">
        <v>234870</v>
      </c>
      <c r="H192" s="155">
        <v>587175</v>
      </c>
      <c r="I192" s="153"/>
      <c r="J192" s="156">
        <f>+(G192+H192)*$U$9</f>
        <v>9.8645399999999999</v>
      </c>
      <c r="K192" s="155">
        <v>493227</v>
      </c>
      <c r="L192" s="154">
        <f>+(G192+H192)*$U$11</f>
        <v>2877157.5</v>
      </c>
      <c r="M192" s="154"/>
      <c r="N192" s="154">
        <f>+(G192+H192)*$U$10</f>
        <v>1808499.0000000002</v>
      </c>
    </row>
    <row r="193" spans="3:14" x14ac:dyDescent="0.25">
      <c r="C193" s="73"/>
      <c r="D193" s="73"/>
      <c r="E193" s="73"/>
      <c r="F193" s="73"/>
      <c r="G193" s="73"/>
      <c r="H193" s="73"/>
    </row>
    <row r="194" spans="3:14" x14ac:dyDescent="0.25">
      <c r="C194" s="66" t="s">
        <v>93</v>
      </c>
      <c r="D194" s="67"/>
      <c r="E194" s="68"/>
      <c r="F194" s="68"/>
      <c r="G194" s="68"/>
      <c r="H194" s="68"/>
      <c r="I194" s="69"/>
      <c r="J194" s="69"/>
      <c r="K194" s="68"/>
      <c r="L194" s="68"/>
      <c r="M194" s="68"/>
      <c r="N194" s="70"/>
    </row>
    <row r="195" spans="3:14" x14ac:dyDescent="0.25">
      <c r="C195" s="73"/>
      <c r="D195" s="73"/>
      <c r="E195" s="73"/>
      <c r="F195" s="73"/>
      <c r="G195" s="73"/>
      <c r="H195" s="73"/>
    </row>
    <row r="196" spans="3:14" x14ac:dyDescent="0.25">
      <c r="C196" s="74" t="s">
        <v>44</v>
      </c>
      <c r="D196" s="75"/>
      <c r="E196" s="166" t="s">
        <v>11</v>
      </c>
      <c r="F196" s="167"/>
      <c r="G196" s="229" t="s">
        <v>12</v>
      </c>
      <c r="H196" s="229"/>
      <c r="I196" s="226" t="s">
        <v>84</v>
      </c>
      <c r="J196" s="226"/>
      <c r="K196" s="227" t="s">
        <v>33</v>
      </c>
      <c r="L196" s="227"/>
      <c r="M196" s="228" t="s">
        <v>34</v>
      </c>
      <c r="N196" s="228"/>
    </row>
    <row r="197" spans="3:14" x14ac:dyDescent="0.25">
      <c r="C197" s="74"/>
      <c r="D197" s="74"/>
      <c r="E197" s="76" t="s">
        <v>10</v>
      </c>
      <c r="F197" s="76" t="s">
        <v>9</v>
      </c>
      <c r="G197" s="76" t="s">
        <v>13</v>
      </c>
      <c r="H197" s="76" t="s">
        <v>14</v>
      </c>
      <c r="I197" s="77" t="s">
        <v>68</v>
      </c>
      <c r="J197" s="77" t="s">
        <v>69</v>
      </c>
      <c r="K197" s="78" t="s">
        <v>72</v>
      </c>
      <c r="L197" s="78" t="s">
        <v>83</v>
      </c>
      <c r="M197" s="79" t="s">
        <v>70</v>
      </c>
      <c r="N197" s="79" t="s">
        <v>71</v>
      </c>
    </row>
    <row r="198" spans="3:14" x14ac:dyDescent="0.25">
      <c r="C198" s="151" t="s">
        <v>1</v>
      </c>
      <c r="D198" s="151"/>
      <c r="E198" s="152"/>
      <c r="F198" s="152"/>
      <c r="G198" s="74"/>
      <c r="H198" s="74"/>
      <c r="I198" s="153"/>
      <c r="J198" s="153"/>
      <c r="K198" s="154"/>
      <c r="L198" s="154"/>
      <c r="M198" s="154"/>
      <c r="N198" s="154"/>
    </row>
    <row r="199" spans="3:14" x14ac:dyDescent="0.25">
      <c r="C199" s="124" t="s">
        <v>3</v>
      </c>
      <c r="D199" s="124"/>
      <c r="E199" s="152">
        <v>795</v>
      </c>
      <c r="F199" s="152">
        <v>795</v>
      </c>
      <c r="G199" s="154"/>
      <c r="H199" s="152"/>
      <c r="I199" s="157">
        <f>+(E199+F199)*$U$9</f>
        <v>1.908E-2</v>
      </c>
      <c r="J199" s="156">
        <f>+(G199+H199)*$U$9</f>
        <v>0</v>
      </c>
      <c r="K199" s="153">
        <f>+(E199+F199)*$U$11</f>
        <v>5565</v>
      </c>
      <c r="L199" s="154">
        <f>+(G199+H199)*$U$11</f>
        <v>0</v>
      </c>
      <c r="M199" s="153">
        <f>+(E199+F199)*$U$10</f>
        <v>3498.0000000000005</v>
      </c>
      <c r="N199" s="154">
        <f>+(G199+H199)*$U$10</f>
        <v>0</v>
      </c>
    </row>
  </sheetData>
  <mergeCells count="58">
    <mergeCell ref="G189:H189"/>
    <mergeCell ref="I189:J189"/>
    <mergeCell ref="K189:L189"/>
    <mergeCell ref="M189:N189"/>
    <mergeCell ref="G196:H196"/>
    <mergeCell ref="I196:J196"/>
    <mergeCell ref="K196:L196"/>
    <mergeCell ref="M196:N196"/>
    <mergeCell ref="G162:H162"/>
    <mergeCell ref="I162:J162"/>
    <mergeCell ref="K162:L162"/>
    <mergeCell ref="M162:N162"/>
    <mergeCell ref="G176:H176"/>
    <mergeCell ref="I176:J176"/>
    <mergeCell ref="K176:L176"/>
    <mergeCell ref="M176:N176"/>
    <mergeCell ref="G135:H135"/>
    <mergeCell ref="I135:J135"/>
    <mergeCell ref="K135:L135"/>
    <mergeCell ref="M135:N135"/>
    <mergeCell ref="G149:H149"/>
    <mergeCell ref="I149:J149"/>
    <mergeCell ref="K149:L149"/>
    <mergeCell ref="M149:N149"/>
    <mergeCell ref="G103:H103"/>
    <mergeCell ref="I103:J103"/>
    <mergeCell ref="K103:L103"/>
    <mergeCell ref="M103:N103"/>
    <mergeCell ref="G119:H119"/>
    <mergeCell ref="I119:J119"/>
    <mergeCell ref="K119:L119"/>
    <mergeCell ref="M119:N119"/>
    <mergeCell ref="G76:H76"/>
    <mergeCell ref="I76:J76"/>
    <mergeCell ref="K76:L76"/>
    <mergeCell ref="M76:N76"/>
    <mergeCell ref="G90:H90"/>
    <mergeCell ref="I90:J90"/>
    <mergeCell ref="K90:L90"/>
    <mergeCell ref="M90:N90"/>
    <mergeCell ref="G49:H49"/>
    <mergeCell ref="I49:J49"/>
    <mergeCell ref="K49:L49"/>
    <mergeCell ref="M49:N49"/>
    <mergeCell ref="G63:H63"/>
    <mergeCell ref="I63:J63"/>
    <mergeCell ref="K63:L63"/>
    <mergeCell ref="M63:N63"/>
    <mergeCell ref="E4:F4"/>
    <mergeCell ref="G4:H4"/>
    <mergeCell ref="I4:J4"/>
    <mergeCell ref="K4:L4"/>
    <mergeCell ref="M4:N4"/>
    <mergeCell ref="E32:F32"/>
    <mergeCell ref="G32:H32"/>
    <mergeCell ref="I32:J32"/>
    <mergeCell ref="K32:L32"/>
    <mergeCell ref="M32:N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D6AC-A123-475C-80D0-686AF3303060}">
  <sheetPr>
    <tabColor theme="9" tint="0.59999389629810485"/>
  </sheetPr>
  <dimension ref="B2:X84"/>
  <sheetViews>
    <sheetView topLeftCell="A10" zoomScale="59" zoomScaleNormal="90" workbookViewId="0">
      <selection activeCell="C40" sqref="C40:L40"/>
    </sheetView>
  </sheetViews>
  <sheetFormatPr defaultRowHeight="15" x14ac:dyDescent="0.25"/>
  <cols>
    <col min="1" max="1" width="1.5703125" customWidth="1"/>
    <col min="2" max="2" width="23.42578125" bestFit="1" customWidth="1"/>
    <col min="3" max="4" width="10.5703125" bestFit="1" customWidth="1"/>
    <col min="5" max="5" width="11.5703125" bestFit="1" customWidth="1"/>
    <col min="6" max="6" width="14" bestFit="1" customWidth="1"/>
    <col min="7" max="7" width="11.85546875" bestFit="1" customWidth="1"/>
    <col min="8" max="8" width="11" bestFit="1" customWidth="1"/>
    <col min="9" max="9" width="11.85546875" bestFit="1" customWidth="1"/>
    <col min="10" max="10" width="13.28515625" bestFit="1" customWidth="1"/>
    <col min="11" max="11" width="11.85546875" bestFit="1" customWidth="1"/>
    <col min="12" max="12" width="12.42578125" bestFit="1" customWidth="1"/>
    <col min="14" max="14" width="25.5703125" customWidth="1"/>
    <col min="15" max="15" width="10.5703125" bestFit="1" customWidth="1"/>
    <col min="16" max="17" width="9.140625" customWidth="1"/>
    <col min="18" max="18" width="12.42578125" bestFit="1" customWidth="1"/>
    <col min="19" max="19" width="10.42578125" bestFit="1" customWidth="1"/>
    <col min="21" max="21" width="10.5703125" bestFit="1" customWidth="1"/>
    <col min="22" max="22" width="11" bestFit="1" customWidth="1"/>
    <col min="23" max="23" width="10.5703125" bestFit="1" customWidth="1"/>
    <col min="24" max="24" width="11" bestFit="1" customWidth="1"/>
  </cols>
  <sheetData>
    <row r="2" spans="2:16" x14ac:dyDescent="0.25">
      <c r="B2" s="230">
        <v>2022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</row>
    <row r="3" spans="2:16" ht="5.45" customHeight="1" x14ac:dyDescent="0.25">
      <c r="B3" s="1"/>
      <c r="C3" s="1"/>
      <c r="D3" s="1"/>
      <c r="E3" s="1"/>
      <c r="F3" s="1"/>
    </row>
    <row r="4" spans="2:16" x14ac:dyDescent="0.25">
      <c r="B4" s="3"/>
      <c r="C4" s="231" t="s">
        <v>11</v>
      </c>
      <c r="D4" s="231"/>
      <c r="E4" s="231" t="s">
        <v>12</v>
      </c>
      <c r="F4" s="231"/>
      <c r="G4" s="232" t="s">
        <v>32</v>
      </c>
      <c r="H4" s="232"/>
      <c r="I4" s="233" t="s">
        <v>33</v>
      </c>
      <c r="J4" s="233"/>
      <c r="K4" s="234" t="s">
        <v>34</v>
      </c>
      <c r="L4" s="234"/>
      <c r="N4" t="s">
        <v>15</v>
      </c>
    </row>
    <row r="5" spans="2:16" x14ac:dyDescent="0.25">
      <c r="B5" s="3"/>
      <c r="C5" s="12" t="s">
        <v>9</v>
      </c>
      <c r="D5" s="12" t="s">
        <v>10</v>
      </c>
      <c r="E5" s="12" t="s">
        <v>13</v>
      </c>
      <c r="F5" s="12" t="s">
        <v>14</v>
      </c>
      <c r="G5" s="17" t="s">
        <v>22</v>
      </c>
      <c r="H5" s="17" t="s">
        <v>23</v>
      </c>
      <c r="I5" s="18" t="s">
        <v>22</v>
      </c>
      <c r="J5" s="18" t="s">
        <v>23</v>
      </c>
      <c r="K5" s="19" t="s">
        <v>22</v>
      </c>
      <c r="L5" s="19" t="s">
        <v>23</v>
      </c>
      <c r="N5" t="s">
        <v>16</v>
      </c>
    </row>
    <row r="6" spans="2:16" x14ac:dyDescent="0.25">
      <c r="B6" s="15" t="s">
        <v>6</v>
      </c>
      <c r="C6" s="7"/>
      <c r="D6" s="7"/>
      <c r="E6" s="7"/>
      <c r="F6" s="7"/>
      <c r="G6" s="44"/>
      <c r="H6" s="44"/>
      <c r="I6" s="7"/>
      <c r="J6" s="7"/>
      <c r="K6" s="7"/>
      <c r="L6" s="7"/>
      <c r="N6" s="13" t="s">
        <v>8</v>
      </c>
      <c r="O6">
        <v>2.5</v>
      </c>
    </row>
    <row r="7" spans="2:16" x14ac:dyDescent="0.25">
      <c r="B7" s="16" t="s">
        <v>8</v>
      </c>
      <c r="C7" s="8"/>
      <c r="D7" s="8"/>
      <c r="E7" s="8"/>
      <c r="F7" s="8"/>
      <c r="G7" s="45"/>
      <c r="H7" s="45"/>
      <c r="I7" s="8"/>
      <c r="J7" s="8"/>
      <c r="K7" s="8"/>
      <c r="L7" s="8"/>
      <c r="N7" s="13" t="s">
        <v>7</v>
      </c>
      <c r="O7">
        <v>2.8</v>
      </c>
    </row>
    <row r="8" spans="2:16" x14ac:dyDescent="0.25">
      <c r="B8" s="5" t="s">
        <v>1</v>
      </c>
      <c r="C8" s="3"/>
      <c r="D8" s="3"/>
      <c r="E8" s="3"/>
      <c r="F8" s="3"/>
      <c r="G8" s="46"/>
      <c r="H8" s="46"/>
      <c r="I8" s="4"/>
      <c r="J8" s="4"/>
      <c r="K8" s="4"/>
      <c r="L8" s="4"/>
      <c r="N8" t="s">
        <v>17</v>
      </c>
    </row>
    <row r="9" spans="2:16" x14ac:dyDescent="0.25">
      <c r="B9" s="39" t="s">
        <v>3</v>
      </c>
      <c r="C9" s="3"/>
      <c r="D9" s="3"/>
      <c r="E9" s="4">
        <v>613274</v>
      </c>
      <c r="F9" s="9">
        <f>E9*$O$6</f>
        <v>1533185</v>
      </c>
      <c r="G9" s="46"/>
      <c r="H9" s="47">
        <f>-(E9+F9)*$O$9</f>
        <v>-25.757508000000001</v>
      </c>
      <c r="I9" s="9">
        <f>(E9*$O$12)</f>
        <v>1287875.4000000001</v>
      </c>
      <c r="J9" s="4">
        <f>-((F9*$O$11)+(E9*$O$11))</f>
        <v>-7512606.5</v>
      </c>
      <c r="K9" s="4"/>
      <c r="L9" s="4">
        <f>-((F9*$O$10)+(E9*$O$10))</f>
        <v>-4722209.8000000007</v>
      </c>
      <c r="N9" s="38" t="s">
        <v>18</v>
      </c>
      <c r="O9" s="38">
        <v>1.2E-5</v>
      </c>
      <c r="P9" s="38" t="s">
        <v>21</v>
      </c>
    </row>
    <row r="10" spans="2:16" x14ac:dyDescent="0.25">
      <c r="B10" s="5" t="s">
        <v>0</v>
      </c>
      <c r="C10" s="3"/>
      <c r="D10" s="3"/>
      <c r="E10" s="3"/>
      <c r="F10" s="6"/>
      <c r="G10" s="46"/>
      <c r="H10" s="46"/>
      <c r="I10" s="4"/>
      <c r="J10" s="4"/>
      <c r="K10" s="4"/>
      <c r="L10" s="4"/>
      <c r="N10" s="38" t="s">
        <v>19</v>
      </c>
      <c r="O10" s="38">
        <v>2.2000000000000002</v>
      </c>
      <c r="P10" s="38" t="s">
        <v>26</v>
      </c>
    </row>
    <row r="11" spans="2:16" x14ac:dyDescent="0.25">
      <c r="B11" s="39" t="s">
        <v>3</v>
      </c>
      <c r="C11" s="6">
        <v>3506176</v>
      </c>
      <c r="D11" s="6">
        <v>1093327</v>
      </c>
      <c r="E11" s="3"/>
      <c r="F11" s="6"/>
      <c r="G11" s="46">
        <f>(C11+D11)*$O$9</f>
        <v>55.194036000000004</v>
      </c>
      <c r="H11" s="48"/>
      <c r="I11" s="9">
        <f>(C11+D11)*$O$11</f>
        <v>16098260.5</v>
      </c>
      <c r="J11" s="4"/>
      <c r="K11" s="4">
        <f>(C11+D11)*$O$10</f>
        <v>10118906.600000001</v>
      </c>
      <c r="L11" s="4"/>
      <c r="N11" s="24" t="s">
        <v>39</v>
      </c>
      <c r="O11" s="24">
        <v>3.5</v>
      </c>
      <c r="P11" s="24" t="s">
        <v>25</v>
      </c>
    </row>
    <row r="12" spans="2:16" x14ac:dyDescent="0.25">
      <c r="B12" s="16" t="s">
        <v>20</v>
      </c>
      <c r="C12" s="8"/>
      <c r="D12" s="8"/>
      <c r="E12" s="8"/>
      <c r="F12" s="8"/>
      <c r="G12" s="45"/>
      <c r="H12" s="45"/>
      <c r="I12" s="8"/>
      <c r="J12" s="8"/>
      <c r="K12" s="8"/>
      <c r="L12" s="8"/>
      <c r="N12" s="38" t="s">
        <v>41</v>
      </c>
      <c r="O12" s="38">
        <v>2.1</v>
      </c>
      <c r="P12" s="38" t="s">
        <v>25</v>
      </c>
    </row>
    <row r="13" spans="2:16" x14ac:dyDescent="0.25">
      <c r="B13" s="5" t="s">
        <v>1</v>
      </c>
      <c r="C13" s="6"/>
      <c r="D13" s="6"/>
      <c r="E13" s="3"/>
      <c r="F13" s="3"/>
      <c r="G13" s="46"/>
      <c r="H13" s="46"/>
      <c r="I13" s="4"/>
      <c r="J13" s="4"/>
      <c r="K13" s="4"/>
      <c r="L13" s="4"/>
    </row>
    <row r="14" spans="2:16" x14ac:dyDescent="0.25">
      <c r="B14" s="39" t="s">
        <v>3</v>
      </c>
      <c r="C14" s="3"/>
      <c r="D14" s="3"/>
      <c r="E14" s="4">
        <v>234870</v>
      </c>
      <c r="F14" s="9">
        <f>E14*$O$6</f>
        <v>587175</v>
      </c>
      <c r="G14" s="46"/>
      <c r="H14" s="47">
        <f>-(E14+F14)*$O$9</f>
        <v>-9.8645399999999999</v>
      </c>
      <c r="I14" s="9">
        <f>(E14*$O$12)</f>
        <v>493227</v>
      </c>
      <c r="J14" s="4">
        <f>-((F14*$O$11)+(E14*$O$11))</f>
        <v>-2877157.5</v>
      </c>
      <c r="K14" s="4"/>
      <c r="L14" s="4">
        <f>-((F14*$O$10)+(E14*$O$10))</f>
        <v>-1808499</v>
      </c>
    </row>
    <row r="15" spans="2:16" x14ac:dyDescent="0.25">
      <c r="B15" s="16" t="s">
        <v>5</v>
      </c>
      <c r="C15" s="8"/>
      <c r="D15" s="8"/>
      <c r="E15" s="8"/>
      <c r="F15" s="8"/>
      <c r="G15" s="45"/>
      <c r="H15" s="45"/>
      <c r="I15" s="8"/>
      <c r="J15" s="8"/>
      <c r="K15" s="8"/>
      <c r="L15" s="8"/>
    </row>
    <row r="16" spans="2:16" x14ac:dyDescent="0.25">
      <c r="B16" s="5" t="s">
        <v>1</v>
      </c>
      <c r="C16" s="6"/>
      <c r="D16" s="6"/>
      <c r="E16" s="6"/>
      <c r="F16" s="6"/>
      <c r="G16" s="46"/>
      <c r="H16" s="46"/>
      <c r="I16" s="4"/>
      <c r="J16" s="4"/>
      <c r="K16" s="4"/>
      <c r="L16" s="4"/>
    </row>
    <row r="17" spans="2:12" x14ac:dyDescent="0.25">
      <c r="B17" s="39" t="s">
        <v>2</v>
      </c>
      <c r="C17" s="6">
        <v>30364</v>
      </c>
      <c r="D17" s="6">
        <v>10385</v>
      </c>
      <c r="E17" s="6"/>
      <c r="F17" s="6"/>
      <c r="G17" s="46">
        <f>(C17+D17+D17)*$O$9</f>
        <v>0.61360800000000004</v>
      </c>
      <c r="H17" s="46"/>
      <c r="I17" s="9">
        <f>(C17+D17+D17)*$O$11</f>
        <v>178969</v>
      </c>
      <c r="J17" s="4"/>
      <c r="K17" s="4">
        <f>(C17+D17+D17)*$O$10</f>
        <v>112494.8</v>
      </c>
      <c r="L17" s="4"/>
    </row>
    <row r="18" spans="2:12" x14ac:dyDescent="0.25">
      <c r="B18" s="5" t="s">
        <v>0</v>
      </c>
      <c r="C18" s="6"/>
      <c r="D18" s="6"/>
      <c r="E18" s="6"/>
      <c r="F18" s="6"/>
      <c r="G18" s="46"/>
      <c r="H18" s="46"/>
      <c r="I18" s="4"/>
      <c r="J18" s="4"/>
      <c r="K18" s="4"/>
      <c r="L18" s="4"/>
    </row>
    <row r="19" spans="2:12" x14ac:dyDescent="0.25">
      <c r="B19" s="39" t="s">
        <v>2</v>
      </c>
      <c r="C19" s="6">
        <v>134661</v>
      </c>
      <c r="D19" s="6">
        <v>47071</v>
      </c>
      <c r="E19" s="6"/>
      <c r="F19" s="6"/>
      <c r="G19" s="46">
        <f>(C19+D19+D19)*$O$9</f>
        <v>2.7456360000000002</v>
      </c>
      <c r="H19" s="46"/>
      <c r="I19" s="9">
        <f>(C19+D19+D19)*$O$11</f>
        <v>800810.5</v>
      </c>
      <c r="J19" s="4"/>
      <c r="K19" s="4">
        <f>(C19+D19+D19)*$O$10</f>
        <v>503366.60000000003</v>
      </c>
      <c r="L19" s="4"/>
    </row>
    <row r="20" spans="2:12" x14ac:dyDescent="0.25">
      <c r="B20" s="16" t="s">
        <v>29</v>
      </c>
      <c r="C20" s="8"/>
      <c r="D20" s="8"/>
      <c r="E20" s="8"/>
      <c r="F20" s="8"/>
      <c r="G20" s="45"/>
      <c r="H20" s="45"/>
      <c r="I20" s="8"/>
      <c r="J20" s="8"/>
      <c r="K20" s="8"/>
      <c r="L20" s="8"/>
    </row>
    <row r="21" spans="2:12" x14ac:dyDescent="0.25">
      <c r="B21" s="5" t="s">
        <v>1</v>
      </c>
      <c r="C21" s="6"/>
      <c r="D21" s="6"/>
      <c r="E21" s="3"/>
      <c r="F21" s="3"/>
      <c r="G21" s="46"/>
      <c r="H21" s="46"/>
      <c r="I21" s="4"/>
      <c r="J21" s="4"/>
      <c r="K21" s="4"/>
      <c r="L21" s="4"/>
    </row>
    <row r="22" spans="2:12" x14ac:dyDescent="0.25">
      <c r="B22" s="39" t="s">
        <v>3</v>
      </c>
      <c r="C22" s="6">
        <v>423411</v>
      </c>
      <c r="D22" s="6">
        <v>101671</v>
      </c>
      <c r="E22" s="4">
        <v>134782</v>
      </c>
      <c r="F22" s="6">
        <f>E22*$O$7</f>
        <v>377389.6</v>
      </c>
      <c r="G22" s="46">
        <f>(C22+D22)*$O$9</f>
        <v>6.3009840000000006</v>
      </c>
      <c r="H22" s="47">
        <f>-(E22+F22)*$O$9</f>
        <v>-6.1460591999999998</v>
      </c>
      <c r="I22" s="9">
        <f>((C22+D22)*$O$11)+E22*$O$12</f>
        <v>2120829.2000000002</v>
      </c>
      <c r="J22" s="4">
        <f>-((F22*$O$11)+(E22*$O$11))</f>
        <v>-1792600.5999999999</v>
      </c>
      <c r="K22" s="4">
        <f>(C22+D22)*$O$10</f>
        <v>1155180.4000000001</v>
      </c>
      <c r="L22" s="4">
        <f>-((F22*$O$10)+(E22*$O$10))</f>
        <v>-1126777.52</v>
      </c>
    </row>
    <row r="23" spans="2:12" x14ac:dyDescent="0.25">
      <c r="B23" s="39" t="s">
        <v>2</v>
      </c>
      <c r="C23" s="6">
        <v>54</v>
      </c>
      <c r="D23" s="6">
        <v>5</v>
      </c>
      <c r="E23" s="6"/>
      <c r="F23" s="6"/>
      <c r="G23" s="46">
        <f>(C23+D23+D23)*$O$9</f>
        <v>7.6800000000000002E-4</v>
      </c>
      <c r="H23" s="46"/>
      <c r="I23" s="9">
        <f>(C23+D23+D23)*$O$11</f>
        <v>224</v>
      </c>
      <c r="J23" s="4"/>
      <c r="K23" s="4">
        <f>(C23+D23+D23)*$O$10</f>
        <v>140.80000000000001</v>
      </c>
      <c r="L23" s="4"/>
    </row>
    <row r="24" spans="2:12" x14ac:dyDescent="0.25">
      <c r="B24" s="5" t="s">
        <v>0</v>
      </c>
      <c r="C24" s="6"/>
      <c r="D24" s="6"/>
      <c r="E24" s="6"/>
      <c r="F24" s="6"/>
      <c r="G24" s="46"/>
      <c r="H24" s="46"/>
      <c r="I24" s="4"/>
      <c r="J24" s="4"/>
      <c r="K24" s="4"/>
      <c r="L24" s="4"/>
    </row>
    <row r="25" spans="2:12" x14ac:dyDescent="0.25">
      <c r="B25" s="39" t="s">
        <v>3</v>
      </c>
      <c r="C25" s="6">
        <v>1430</v>
      </c>
      <c r="D25" s="6">
        <v>715</v>
      </c>
      <c r="E25" s="6"/>
      <c r="F25" s="6"/>
      <c r="G25" s="46">
        <f>(C25+D25)*$O$9</f>
        <v>2.5739999999999999E-2</v>
      </c>
      <c r="H25" s="47"/>
      <c r="I25" s="9">
        <f>(C25+D25)*$O$11</f>
        <v>7507.5</v>
      </c>
      <c r="J25" s="4"/>
      <c r="K25" s="4">
        <f>(C25+D25)*$O$10</f>
        <v>4719</v>
      </c>
      <c r="L25" s="4"/>
    </row>
    <row r="26" spans="2:12" x14ac:dyDescent="0.25">
      <c r="B26" s="16" t="s">
        <v>30</v>
      </c>
      <c r="C26" s="8"/>
      <c r="D26" s="8"/>
      <c r="E26" s="8"/>
      <c r="F26" s="8"/>
      <c r="G26" s="45"/>
      <c r="H26" s="45"/>
      <c r="I26" s="8"/>
      <c r="J26" s="8"/>
      <c r="K26" s="8"/>
      <c r="L26" s="8"/>
    </row>
    <row r="27" spans="2:12" x14ac:dyDescent="0.25">
      <c r="B27" s="5" t="s">
        <v>1</v>
      </c>
      <c r="C27" s="6"/>
      <c r="D27" s="6"/>
      <c r="E27" s="3"/>
      <c r="F27" s="3"/>
      <c r="G27" s="46"/>
      <c r="H27" s="46"/>
      <c r="I27" s="4"/>
      <c r="J27" s="4"/>
      <c r="K27" s="4"/>
      <c r="L27" s="4"/>
    </row>
    <row r="28" spans="2:12" x14ac:dyDescent="0.25">
      <c r="B28" s="39" t="s">
        <v>3</v>
      </c>
      <c r="C28" s="6">
        <v>795</v>
      </c>
      <c r="D28" s="6">
        <v>795</v>
      </c>
      <c r="E28" s="4"/>
      <c r="F28" s="6">
        <f>E28*$O$7</f>
        <v>0</v>
      </c>
      <c r="G28" s="46">
        <f>(C28+D28)*$O$9</f>
        <v>1.908E-2</v>
      </c>
      <c r="H28" s="47">
        <f>-(E28+F28)*$O$9</f>
        <v>0</v>
      </c>
      <c r="I28" s="9">
        <f>((C28+D28)*$O$11)+E28*$O$12</f>
        <v>5565</v>
      </c>
      <c r="J28" s="4">
        <f>-((F28*$O$11)+(E28*$O$11))</f>
        <v>0</v>
      </c>
      <c r="K28" s="4">
        <f>(C28+D28)*$O$10</f>
        <v>3498.0000000000005</v>
      </c>
      <c r="L28" s="4">
        <f>-((F28*$O$10)+(E28*$O$10))</f>
        <v>0</v>
      </c>
    </row>
    <row r="29" spans="2:12" x14ac:dyDescent="0.25">
      <c r="B29" s="15" t="s">
        <v>4</v>
      </c>
      <c r="C29" s="7"/>
      <c r="D29" s="7"/>
      <c r="E29" s="7"/>
      <c r="F29" s="7"/>
      <c r="G29" s="44"/>
      <c r="H29" s="44"/>
      <c r="I29" s="7"/>
      <c r="J29" s="7"/>
      <c r="K29" s="7"/>
      <c r="L29" s="7"/>
    </row>
    <row r="30" spans="2:12" x14ac:dyDescent="0.25">
      <c r="B30" s="16" t="s">
        <v>8</v>
      </c>
      <c r="C30" s="8"/>
      <c r="D30" s="8"/>
      <c r="E30" s="8"/>
      <c r="F30" s="8"/>
      <c r="G30" s="45"/>
      <c r="H30" s="45"/>
      <c r="I30" s="8"/>
      <c r="J30" s="8"/>
      <c r="K30" s="8"/>
      <c r="L30" s="8"/>
    </row>
    <row r="31" spans="2:12" x14ac:dyDescent="0.25">
      <c r="B31" s="3" t="s">
        <v>1</v>
      </c>
      <c r="C31" s="3"/>
      <c r="D31" s="3"/>
      <c r="E31" s="3"/>
      <c r="F31" s="3"/>
      <c r="G31" s="46"/>
      <c r="H31" s="46"/>
      <c r="I31" s="4"/>
      <c r="J31" s="4"/>
      <c r="K31" s="4"/>
      <c r="L31" s="4"/>
    </row>
    <row r="32" spans="2:12" x14ac:dyDescent="0.25">
      <c r="B32" s="39" t="s">
        <v>3</v>
      </c>
      <c r="C32" s="3"/>
      <c r="D32" s="3"/>
      <c r="E32" s="4">
        <v>28560</v>
      </c>
      <c r="F32" s="9">
        <f>E32*$O$6</f>
        <v>71400</v>
      </c>
      <c r="G32" s="46"/>
      <c r="H32" s="47">
        <f>-(E32+F32)*$O$9</f>
        <v>-1.1995199999999999</v>
      </c>
      <c r="I32" s="9">
        <f>(E32*$O$12)</f>
        <v>59976</v>
      </c>
      <c r="J32" s="4">
        <f>-((F32*$O$11)+(E32*$O$11))</f>
        <v>-349860</v>
      </c>
      <c r="K32" s="4"/>
      <c r="L32" s="4">
        <f>-((F32*$O$10)+(E32*$O$10))</f>
        <v>-219912</v>
      </c>
    </row>
    <row r="33" spans="2:24" x14ac:dyDescent="0.25">
      <c r="B33" s="3" t="s">
        <v>0</v>
      </c>
      <c r="C33" s="4"/>
      <c r="D33" s="4"/>
      <c r="E33" s="3"/>
      <c r="F33" s="4"/>
      <c r="G33" s="46"/>
      <c r="H33" s="46"/>
      <c r="I33" s="4"/>
      <c r="J33" s="4"/>
      <c r="K33" s="4"/>
      <c r="L33" s="4"/>
    </row>
    <row r="34" spans="2:24" x14ac:dyDescent="0.25">
      <c r="B34" s="39" t="s">
        <v>3</v>
      </c>
      <c r="C34" s="6">
        <v>875888</v>
      </c>
      <c r="D34" s="6">
        <v>213665</v>
      </c>
      <c r="E34" s="3"/>
      <c r="F34" s="4"/>
      <c r="G34" s="46">
        <f>(C34+D34)*$O$9</f>
        <v>13.074636</v>
      </c>
      <c r="H34" s="47"/>
      <c r="I34" s="9">
        <f>(C34+D34)*$O$11</f>
        <v>3813435.5</v>
      </c>
      <c r="J34" s="4"/>
      <c r="K34" s="4">
        <f>(C34+D34)*$O$10</f>
        <v>2397016.6</v>
      </c>
      <c r="L34" s="4"/>
    </row>
    <row r="35" spans="2:24" x14ac:dyDescent="0.25">
      <c r="B35" s="16" t="s">
        <v>5</v>
      </c>
      <c r="C35" s="8"/>
      <c r="D35" s="8"/>
      <c r="E35" s="8"/>
      <c r="F35" s="8"/>
      <c r="G35" s="45"/>
      <c r="H35" s="45"/>
      <c r="I35" s="8"/>
      <c r="J35" s="8"/>
      <c r="K35" s="8"/>
      <c r="L35" s="8"/>
    </row>
    <row r="36" spans="2:24" x14ac:dyDescent="0.25">
      <c r="B36" s="3" t="s">
        <v>1</v>
      </c>
      <c r="C36" s="6"/>
      <c r="D36" s="6"/>
      <c r="E36" s="4"/>
      <c r="F36" s="4"/>
      <c r="G36" s="46"/>
      <c r="H36" s="46"/>
      <c r="I36" s="4"/>
      <c r="J36" s="4"/>
      <c r="K36" s="4"/>
      <c r="L36" s="4"/>
    </row>
    <row r="37" spans="2:24" x14ac:dyDescent="0.25">
      <c r="B37" s="39" t="s">
        <v>2</v>
      </c>
      <c r="C37" s="6">
        <v>8501</v>
      </c>
      <c r="D37" s="6">
        <v>4249</v>
      </c>
      <c r="E37" s="4"/>
      <c r="F37" s="4"/>
      <c r="G37" s="46">
        <f>(C37+D37+D37)*$O$9</f>
        <v>0.203988</v>
      </c>
      <c r="H37" s="46"/>
      <c r="I37" s="9">
        <f>(C37+D37+D37)*$O$11</f>
        <v>59496.5</v>
      </c>
      <c r="J37" s="4"/>
      <c r="K37" s="4">
        <f>(C37+D37+D37)*$O$10</f>
        <v>37397.800000000003</v>
      </c>
      <c r="L37" s="4"/>
    </row>
    <row r="38" spans="2:24" x14ac:dyDescent="0.25">
      <c r="B38" s="3" t="s">
        <v>0</v>
      </c>
      <c r="C38" s="6"/>
      <c r="D38" s="6"/>
      <c r="E38" s="4"/>
      <c r="F38" s="4"/>
      <c r="G38" s="46"/>
      <c r="H38" s="46"/>
      <c r="I38" s="4"/>
      <c r="J38" s="4"/>
      <c r="K38" s="4"/>
      <c r="L38" s="4"/>
    </row>
    <row r="39" spans="2:24" ht="15.75" thickBot="1" x14ac:dyDescent="0.3">
      <c r="B39" s="40" t="s">
        <v>2</v>
      </c>
      <c r="C39" s="41">
        <v>46351</v>
      </c>
      <c r="D39" s="41">
        <v>22874</v>
      </c>
      <c r="E39" s="34"/>
      <c r="F39" s="34"/>
      <c r="G39" s="49">
        <f>(C39+D39+D39)*$O$9</f>
        <v>1.1051880000000001</v>
      </c>
      <c r="H39" s="49"/>
      <c r="I39" s="43">
        <f>(C39+D39+D39)*$O$11</f>
        <v>322346.5</v>
      </c>
      <c r="J39" s="34"/>
      <c r="K39" s="34">
        <f>(C39+D39+D39)*$O$10</f>
        <v>202617.80000000002</v>
      </c>
      <c r="L39" s="34"/>
    </row>
    <row r="40" spans="2:24" ht="15.75" thickBot="1" x14ac:dyDescent="0.3">
      <c r="B40" s="25" t="s">
        <v>24</v>
      </c>
      <c r="C40" s="26">
        <f t="shared" ref="C40:L40" si="0">SUM(C6:C39)</f>
        <v>5027631</v>
      </c>
      <c r="D40" s="26">
        <f>SUM(D6:D39)</f>
        <v>1494757</v>
      </c>
      <c r="E40" s="26">
        <f t="shared" si="0"/>
        <v>1011486</v>
      </c>
      <c r="F40" s="26">
        <f t="shared" si="0"/>
        <v>2569149.6</v>
      </c>
      <c r="G40" s="50">
        <f t="shared" si="0"/>
        <v>79.283663999999987</v>
      </c>
      <c r="H40" s="50">
        <f t="shared" si="0"/>
        <v>-42.967627200000003</v>
      </c>
      <c r="I40" s="28">
        <f t="shared" si="0"/>
        <v>25248522.599999998</v>
      </c>
      <c r="J40" s="28">
        <f t="shared" si="0"/>
        <v>-12532224.6</v>
      </c>
      <c r="K40" s="30">
        <f t="shared" si="0"/>
        <v>14535338.400000004</v>
      </c>
      <c r="L40" s="51">
        <f t="shared" si="0"/>
        <v>-7877398.3200000003</v>
      </c>
    </row>
    <row r="41" spans="2:24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</row>
    <row r="43" spans="2:24" x14ac:dyDescent="0.25">
      <c r="B43" s="230" t="s">
        <v>27</v>
      </c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N43" s="230" t="s">
        <v>28</v>
      </c>
      <c r="O43" s="230"/>
      <c r="P43" s="230"/>
      <c r="Q43" s="230"/>
      <c r="R43" s="230"/>
      <c r="S43" s="230"/>
      <c r="T43" s="230"/>
      <c r="U43" s="230"/>
      <c r="V43" s="230"/>
      <c r="W43" s="230"/>
      <c r="X43" s="230"/>
    </row>
    <row r="44" spans="2:24" ht="5.0999999999999996" customHeight="1" x14ac:dyDescent="0.25"/>
    <row r="45" spans="2:24" x14ac:dyDescent="0.25">
      <c r="B45" s="3"/>
      <c r="C45" s="231" t="s">
        <v>11</v>
      </c>
      <c r="D45" s="231"/>
      <c r="E45" s="231" t="s">
        <v>12</v>
      </c>
      <c r="F45" s="231"/>
      <c r="G45" s="232" t="s">
        <v>32</v>
      </c>
      <c r="H45" s="232"/>
      <c r="I45" s="233" t="s">
        <v>33</v>
      </c>
      <c r="J45" s="233"/>
      <c r="K45" s="234" t="s">
        <v>34</v>
      </c>
      <c r="L45" s="234"/>
      <c r="N45" s="3"/>
      <c r="O45" s="231" t="s">
        <v>11</v>
      </c>
      <c r="P45" s="231"/>
      <c r="Q45" s="231" t="s">
        <v>12</v>
      </c>
      <c r="R45" s="231"/>
      <c r="S45" s="232" t="s">
        <v>32</v>
      </c>
      <c r="T45" s="232"/>
      <c r="U45" s="233" t="s">
        <v>33</v>
      </c>
      <c r="V45" s="233"/>
      <c r="W45" s="234" t="s">
        <v>34</v>
      </c>
      <c r="X45" s="234"/>
    </row>
    <row r="46" spans="2:24" x14ac:dyDescent="0.25">
      <c r="B46" s="3"/>
      <c r="C46" s="12" t="s">
        <v>9</v>
      </c>
      <c r="D46" s="12" t="s">
        <v>10</v>
      </c>
      <c r="E46" s="12" t="s">
        <v>13</v>
      </c>
      <c r="F46" s="12" t="s">
        <v>14</v>
      </c>
      <c r="G46" s="17" t="s">
        <v>22</v>
      </c>
      <c r="H46" s="17" t="s">
        <v>23</v>
      </c>
      <c r="I46" s="18" t="s">
        <v>22</v>
      </c>
      <c r="J46" s="18" t="s">
        <v>23</v>
      </c>
      <c r="K46" s="19" t="s">
        <v>22</v>
      </c>
      <c r="L46" s="19" t="s">
        <v>23</v>
      </c>
      <c r="N46" s="3"/>
      <c r="O46" s="12" t="s">
        <v>9</v>
      </c>
      <c r="P46" s="12" t="s">
        <v>10</v>
      </c>
      <c r="Q46" s="12" t="s">
        <v>13</v>
      </c>
      <c r="R46" s="12" t="s">
        <v>14</v>
      </c>
      <c r="S46" s="17" t="s">
        <v>22</v>
      </c>
      <c r="T46" s="17" t="s">
        <v>23</v>
      </c>
      <c r="U46" s="18" t="s">
        <v>22</v>
      </c>
      <c r="V46" s="18" t="s">
        <v>23</v>
      </c>
      <c r="W46" s="19" t="s">
        <v>22</v>
      </c>
      <c r="X46" s="19" t="s">
        <v>23</v>
      </c>
    </row>
    <row r="47" spans="2:24" x14ac:dyDescent="0.25">
      <c r="B47" s="15" t="s">
        <v>6</v>
      </c>
      <c r="C47" s="7"/>
      <c r="D47" s="7"/>
      <c r="E47" s="7"/>
      <c r="F47" s="7"/>
      <c r="G47" s="7"/>
      <c r="H47" s="7"/>
      <c r="I47" s="7"/>
      <c r="J47" s="7"/>
      <c r="K47" s="7"/>
      <c r="L47" s="7"/>
      <c r="N47" s="15" t="s">
        <v>6</v>
      </c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2:24" x14ac:dyDescent="0.25">
      <c r="B48" s="16" t="s">
        <v>8</v>
      </c>
      <c r="C48" s="8"/>
      <c r="D48" s="8"/>
      <c r="E48" s="8"/>
      <c r="F48" s="8"/>
      <c r="G48" s="8"/>
      <c r="H48" s="8"/>
      <c r="I48" s="8"/>
      <c r="J48" s="8"/>
      <c r="K48" s="8"/>
      <c r="L48" s="8"/>
      <c r="N48" s="16" t="s">
        <v>8</v>
      </c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2:24" x14ac:dyDescent="0.25">
      <c r="B49" s="5" t="s">
        <v>1</v>
      </c>
      <c r="C49" s="3"/>
      <c r="D49" s="3"/>
      <c r="E49" s="4"/>
      <c r="F49" s="9"/>
      <c r="G49" s="4"/>
      <c r="H49" s="4"/>
      <c r="I49" s="4"/>
      <c r="J49" s="4"/>
      <c r="K49" s="4"/>
      <c r="L49" s="4"/>
      <c r="N49" s="5" t="s">
        <v>1</v>
      </c>
      <c r="O49" s="3"/>
      <c r="P49" s="3"/>
      <c r="Q49" s="3"/>
      <c r="R49" s="9"/>
      <c r="S49" s="4"/>
      <c r="T49" s="4"/>
      <c r="U49" s="4"/>
      <c r="V49" s="4"/>
      <c r="W49" s="4"/>
      <c r="X49" s="4"/>
    </row>
    <row r="50" spans="2:24" x14ac:dyDescent="0.25">
      <c r="B50" s="39" t="s">
        <v>3</v>
      </c>
      <c r="C50" s="3"/>
      <c r="D50" s="3"/>
      <c r="E50" s="14">
        <v>323621</v>
      </c>
      <c r="F50" s="9">
        <f>E50*$O$6</f>
        <v>809052.5</v>
      </c>
      <c r="G50" s="4"/>
      <c r="H50" s="11">
        <f>-(E50+F50)*$O$9</f>
        <v>-13.592082</v>
      </c>
      <c r="I50" s="9">
        <f>(E50*$O$12)</f>
        <v>679604.1</v>
      </c>
      <c r="J50" s="4">
        <f>-((F50*$O$11)+(E50*$O$11))</f>
        <v>-3964357.25</v>
      </c>
      <c r="K50" s="4"/>
      <c r="L50" s="4">
        <f>-((F50*$O$10)+(E50*$O$10))</f>
        <v>-2491881.7000000002</v>
      </c>
      <c r="N50" s="39" t="s">
        <v>3</v>
      </c>
      <c r="O50" s="3"/>
      <c r="P50" s="3"/>
      <c r="Q50" s="14">
        <v>27432</v>
      </c>
      <c r="R50" s="9">
        <f>Q50*$O$6</f>
        <v>68580</v>
      </c>
      <c r="S50" s="4"/>
      <c r="T50" s="11">
        <f>-(Q50+R50)*$O$9</f>
        <v>-1.1521440000000001</v>
      </c>
      <c r="U50" s="9">
        <f>(Q50*$O$12)</f>
        <v>57607.200000000004</v>
      </c>
      <c r="V50" s="4">
        <f>-((R50*$O$11)+(Q50*$O$11))</f>
        <v>-336042</v>
      </c>
      <c r="W50" s="4"/>
      <c r="X50" s="4">
        <f>-((R50*$O$10)+(Q50*$O$10))</f>
        <v>-211226.4</v>
      </c>
    </row>
    <row r="51" spans="2:24" x14ac:dyDescent="0.25">
      <c r="B51" s="5" t="s">
        <v>0</v>
      </c>
      <c r="C51" s="3"/>
      <c r="D51" s="3"/>
      <c r="E51" s="4"/>
      <c r="F51" s="6"/>
      <c r="G51" s="4"/>
      <c r="H51" s="4"/>
      <c r="I51" s="4"/>
      <c r="J51" s="4"/>
      <c r="K51" s="4"/>
      <c r="L51" s="4"/>
      <c r="N51" s="5" t="s">
        <v>0</v>
      </c>
      <c r="O51" s="3"/>
      <c r="P51" s="3"/>
      <c r="Q51" s="3"/>
      <c r="R51" s="6"/>
      <c r="S51" s="4"/>
      <c r="T51" s="4"/>
      <c r="U51" s="4"/>
      <c r="V51" s="4"/>
      <c r="W51" s="4"/>
      <c r="X51" s="4"/>
    </row>
    <row r="52" spans="2:24" x14ac:dyDescent="0.25">
      <c r="B52" s="39" t="s">
        <v>3</v>
      </c>
      <c r="C52" s="6">
        <v>1171462</v>
      </c>
      <c r="D52" s="6">
        <v>325009</v>
      </c>
      <c r="E52" s="4"/>
      <c r="F52" s="6"/>
      <c r="G52" s="10">
        <f>(C52+D52)*$O$9</f>
        <v>17.957652</v>
      </c>
      <c r="H52" s="4"/>
      <c r="I52" s="9">
        <f>(C52+D52)*$O$11</f>
        <v>5237648.5</v>
      </c>
      <c r="J52" s="4"/>
      <c r="K52" s="4">
        <f>(C52+D52)*$O$10</f>
        <v>3292236.2</v>
      </c>
      <c r="L52" s="4"/>
      <c r="N52" s="39" t="s">
        <v>3</v>
      </c>
      <c r="O52" s="6">
        <v>888549</v>
      </c>
      <c r="P52" s="6">
        <v>274986</v>
      </c>
      <c r="Q52" s="3"/>
      <c r="R52" s="6"/>
      <c r="S52" s="10">
        <f>(O52+P52)*$O$9</f>
        <v>13.96242</v>
      </c>
      <c r="T52" s="4"/>
      <c r="U52" s="9">
        <f>(O52+P52)*$O$11</f>
        <v>4072372.5</v>
      </c>
      <c r="V52" s="4"/>
      <c r="W52" s="4">
        <f>(O52+P52)*$O$10</f>
        <v>2559777</v>
      </c>
      <c r="X52" s="4"/>
    </row>
    <row r="53" spans="2:24" x14ac:dyDescent="0.25">
      <c r="B53" s="16" t="s">
        <v>20</v>
      </c>
      <c r="C53" s="8"/>
      <c r="D53" s="8"/>
      <c r="E53" s="8"/>
      <c r="F53" s="8"/>
      <c r="G53" s="8"/>
      <c r="H53" s="8"/>
      <c r="I53" s="8"/>
      <c r="J53" s="8"/>
      <c r="K53" s="8"/>
      <c r="L53" s="8"/>
      <c r="N53" s="16" t="s">
        <v>20</v>
      </c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2:24" x14ac:dyDescent="0.25">
      <c r="B54" s="5" t="s">
        <v>1</v>
      </c>
      <c r="C54" s="6"/>
      <c r="D54" s="6"/>
      <c r="E54" s="4"/>
      <c r="F54" s="9"/>
      <c r="G54" s="4"/>
      <c r="H54" s="4"/>
      <c r="I54" s="4"/>
      <c r="J54" s="4"/>
      <c r="K54" s="4"/>
      <c r="L54" s="4"/>
      <c r="N54" s="5" t="s">
        <v>1</v>
      </c>
      <c r="O54" s="6"/>
      <c r="P54" s="6"/>
      <c r="Q54" s="4">
        <v>161846</v>
      </c>
      <c r="R54" s="9">
        <f>Q54*$O$6</f>
        <v>404615</v>
      </c>
      <c r="S54" s="4"/>
      <c r="T54" s="11">
        <f>-(Q54+R54)*$O$9</f>
        <v>-6.7975320000000004</v>
      </c>
      <c r="U54" s="9">
        <f>(Q54*$O$12)</f>
        <v>339876.60000000003</v>
      </c>
      <c r="V54" s="4">
        <f>-((R54*$O$11)+(Q54*$O$11))</f>
        <v>-1982613.5</v>
      </c>
      <c r="W54" s="4"/>
      <c r="X54" s="4">
        <f>-((R54*$O$10)+(Q54*$O$10))</f>
        <v>-1246214.2000000002</v>
      </c>
    </row>
    <row r="55" spans="2:24" x14ac:dyDescent="0.25">
      <c r="B55" s="16" t="s">
        <v>5</v>
      </c>
      <c r="C55" s="8"/>
      <c r="D55" s="8"/>
      <c r="E55" s="8"/>
      <c r="F55" s="8"/>
      <c r="G55" s="8"/>
      <c r="H55" s="8"/>
      <c r="I55" s="8"/>
      <c r="J55" s="8"/>
      <c r="K55" s="8"/>
      <c r="L55" s="8"/>
      <c r="N55" s="16" t="s">
        <v>5</v>
      </c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2:24" x14ac:dyDescent="0.25">
      <c r="B56" s="5" t="s">
        <v>1</v>
      </c>
      <c r="C56" s="6"/>
      <c r="D56" s="6"/>
      <c r="E56" s="6"/>
      <c r="F56" s="6"/>
      <c r="G56" s="4"/>
      <c r="H56" s="4"/>
      <c r="I56" s="4"/>
      <c r="J56" s="4"/>
      <c r="K56" s="4"/>
      <c r="L56" s="4"/>
      <c r="N56" s="5" t="s">
        <v>1</v>
      </c>
      <c r="O56" s="6"/>
      <c r="P56" s="6"/>
      <c r="Q56" s="6"/>
      <c r="R56" s="6"/>
      <c r="S56" s="4"/>
      <c r="T56" s="4"/>
      <c r="U56" s="4"/>
      <c r="V56" s="4"/>
      <c r="W56" s="4"/>
      <c r="X56" s="4"/>
    </row>
    <row r="57" spans="2:24" x14ac:dyDescent="0.25">
      <c r="B57" s="39" t="s">
        <v>2</v>
      </c>
      <c r="C57" s="6"/>
      <c r="D57" s="6"/>
      <c r="E57" s="6"/>
      <c r="F57" s="6"/>
      <c r="G57" s="10">
        <f>(C57+D57+D57)*$O$9</f>
        <v>0</v>
      </c>
      <c r="H57" s="4"/>
      <c r="I57" s="9">
        <f>(C57+D57+D57)*$O$11</f>
        <v>0</v>
      </c>
      <c r="J57" s="4"/>
      <c r="K57" s="4">
        <f>(C57+D57+D57)*$O$10</f>
        <v>0</v>
      </c>
      <c r="L57" s="4"/>
      <c r="N57" s="39" t="s">
        <v>2</v>
      </c>
      <c r="O57" s="6">
        <v>11240</v>
      </c>
      <c r="P57" s="6">
        <v>3820</v>
      </c>
      <c r="Q57" s="6"/>
      <c r="R57" s="6"/>
      <c r="S57" s="10">
        <f>(O57+P57+P57)*$O$9</f>
        <v>0.22656000000000001</v>
      </c>
      <c r="T57" s="4"/>
      <c r="U57" s="9">
        <f>(O57+P57+P57)*$O$11</f>
        <v>66080</v>
      </c>
      <c r="V57" s="4"/>
      <c r="W57" s="4">
        <f>(O57+P57+P57)*$O$10</f>
        <v>41536</v>
      </c>
      <c r="X57" s="4"/>
    </row>
    <row r="58" spans="2:24" x14ac:dyDescent="0.25">
      <c r="B58" s="5" t="s">
        <v>0</v>
      </c>
      <c r="C58" s="6"/>
      <c r="D58" s="6"/>
      <c r="E58" s="6"/>
      <c r="F58" s="6"/>
      <c r="G58" s="4"/>
      <c r="H58" s="4"/>
      <c r="I58" s="4"/>
      <c r="J58" s="4"/>
      <c r="K58" s="4"/>
      <c r="L58" s="4"/>
      <c r="N58" s="5" t="s">
        <v>0</v>
      </c>
      <c r="O58" s="6"/>
      <c r="P58" s="6"/>
      <c r="Q58" s="6"/>
      <c r="R58" s="6"/>
      <c r="S58" s="4"/>
      <c r="T58" s="4"/>
      <c r="U58" s="4"/>
      <c r="V58" s="4"/>
      <c r="W58" s="4"/>
      <c r="X58" s="4"/>
    </row>
    <row r="59" spans="2:24" x14ac:dyDescent="0.25">
      <c r="B59" s="39" t="s">
        <v>3</v>
      </c>
      <c r="C59" s="6">
        <v>2188</v>
      </c>
      <c r="D59" s="6">
        <v>1068</v>
      </c>
      <c r="E59" s="6"/>
      <c r="F59" s="6"/>
      <c r="G59" s="10">
        <f>(C59+D59)*$O$9</f>
        <v>3.9072000000000003E-2</v>
      </c>
      <c r="H59" s="4"/>
      <c r="I59" s="9">
        <f>(C59+D59)*$O$11</f>
        <v>11396</v>
      </c>
      <c r="J59" s="4"/>
      <c r="K59" s="4">
        <f>(C59+D59)*$O$10</f>
        <v>7163.2000000000007</v>
      </c>
      <c r="L59" s="4"/>
      <c r="N59" s="39" t="s">
        <v>3</v>
      </c>
      <c r="O59" s="6"/>
      <c r="P59" s="6"/>
      <c r="Q59" s="6"/>
      <c r="R59" s="6"/>
      <c r="S59" s="10">
        <f>(O59+P59)*$O$9</f>
        <v>0</v>
      </c>
      <c r="T59" s="4"/>
      <c r="U59" s="9">
        <f>(O59+P59)*$O$11</f>
        <v>0</v>
      </c>
      <c r="V59" s="4"/>
      <c r="W59" s="4">
        <f>(O59+P59)*$O$10</f>
        <v>0</v>
      </c>
      <c r="X59" s="4"/>
    </row>
    <row r="60" spans="2:24" x14ac:dyDescent="0.25">
      <c r="B60" s="39" t="s">
        <v>2</v>
      </c>
      <c r="C60" s="6">
        <v>58083</v>
      </c>
      <c r="D60" s="6">
        <v>19815</v>
      </c>
      <c r="E60" s="6"/>
      <c r="F60" s="6"/>
      <c r="G60" s="10">
        <f>(C60+D60+D60)*$O$9</f>
        <v>1.1725559999999999</v>
      </c>
      <c r="H60" s="4"/>
      <c r="I60" s="9">
        <f>(C60+D60+D60)*$O$11</f>
        <v>341995.5</v>
      </c>
      <c r="J60" s="4"/>
      <c r="K60" s="4">
        <f>(C60+D60+D60)*$O$10</f>
        <v>214968.6</v>
      </c>
      <c r="L60" s="4"/>
      <c r="N60" s="39" t="s">
        <v>2</v>
      </c>
      <c r="O60" s="6">
        <v>48458</v>
      </c>
      <c r="P60" s="6">
        <v>16685</v>
      </c>
      <c r="Q60" s="6"/>
      <c r="R60" s="6"/>
      <c r="S60" s="10">
        <f>(O60+P60+P60)*$O$9</f>
        <v>0.98193600000000003</v>
      </c>
      <c r="T60" s="4"/>
      <c r="U60" s="9">
        <f>(O60+P60+P60)*$O$11</f>
        <v>286398</v>
      </c>
      <c r="V60" s="4"/>
      <c r="W60" s="4">
        <f>(O60+P60+P60)*$O$10</f>
        <v>180021.6</v>
      </c>
      <c r="X60" s="4"/>
    </row>
    <row r="61" spans="2:24" x14ac:dyDescent="0.25">
      <c r="B61" s="16" t="s">
        <v>29</v>
      </c>
      <c r="C61" s="8"/>
      <c r="D61" s="8"/>
      <c r="E61" s="8"/>
      <c r="F61" s="8"/>
      <c r="G61" s="8"/>
      <c r="H61" s="8"/>
      <c r="I61" s="8"/>
      <c r="J61" s="8"/>
      <c r="K61" s="8"/>
      <c r="L61" s="8"/>
      <c r="N61" s="16" t="s">
        <v>29</v>
      </c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2:24" x14ac:dyDescent="0.25">
      <c r="B62" s="5" t="s">
        <v>1</v>
      </c>
      <c r="C62" s="6"/>
      <c r="D62" s="6"/>
      <c r="E62" s="4"/>
      <c r="F62" s="6"/>
      <c r="G62" s="4"/>
      <c r="H62" s="4"/>
      <c r="I62" s="4"/>
      <c r="J62" s="4"/>
      <c r="K62" s="4"/>
      <c r="L62" s="4"/>
      <c r="N62" s="5" t="s">
        <v>1</v>
      </c>
      <c r="O62" s="6"/>
      <c r="P62" s="6"/>
      <c r="Q62" s="3"/>
      <c r="R62" s="6"/>
      <c r="S62" s="4"/>
      <c r="T62" s="4"/>
      <c r="U62" s="4"/>
      <c r="V62" s="4"/>
      <c r="W62" s="4"/>
      <c r="X62" s="4"/>
    </row>
    <row r="63" spans="2:24" x14ac:dyDescent="0.25">
      <c r="B63" s="39" t="s">
        <v>3</v>
      </c>
      <c r="C63" s="6">
        <v>5975</v>
      </c>
      <c r="D63" s="6">
        <v>1719</v>
      </c>
      <c r="E63" s="14">
        <v>16769</v>
      </c>
      <c r="F63" s="9">
        <f>E63*$O$7</f>
        <v>46953.2</v>
      </c>
      <c r="G63" s="10">
        <f>(C63+D63)*$O$9</f>
        <v>9.2328000000000007E-2</v>
      </c>
      <c r="H63" s="11">
        <f>-(E63+F63)*$O$9</f>
        <v>-0.76466639999999997</v>
      </c>
      <c r="I63" s="9">
        <f>((C63+D63)*$O$11)+E63*$O$12</f>
        <v>62143.9</v>
      </c>
      <c r="J63" s="4">
        <f>-((F63*$O$11)+(E63*$O$11))</f>
        <v>-223027.69999999998</v>
      </c>
      <c r="K63" s="4">
        <f>(C63+D63)*$O$10</f>
        <v>16926.800000000003</v>
      </c>
      <c r="L63" s="4">
        <f>-((F63*$O$10)+(E63*$O$10))</f>
        <v>-140188.84000000003</v>
      </c>
      <c r="N63" s="39" t="s">
        <v>3</v>
      </c>
      <c r="O63" s="6">
        <v>38654</v>
      </c>
      <c r="P63" s="6">
        <v>13223</v>
      </c>
      <c r="Q63" s="14">
        <v>23484</v>
      </c>
      <c r="R63" s="9">
        <f>Q63*$O$7</f>
        <v>65755.199999999997</v>
      </c>
      <c r="S63" s="10">
        <f>(O63+P63)*$O$9</f>
        <v>0.62252399999999997</v>
      </c>
      <c r="T63" s="11">
        <f>-(Q63+R63)*$O$9</f>
        <v>-1.0708704</v>
      </c>
      <c r="U63" s="9">
        <f>((O63+P63)*$O$11)+Q63*$O$12</f>
        <v>230885.9</v>
      </c>
      <c r="V63" s="4">
        <f>-((R63*$O$11)+(Q63*$O$11))</f>
        <v>-312337.19999999995</v>
      </c>
      <c r="W63" s="4">
        <f>(O63+P63)*$O$10</f>
        <v>114129.40000000001</v>
      </c>
      <c r="X63" s="4">
        <f>-((R63*$O$10)+(Q63*$O$10))</f>
        <v>-196326.24</v>
      </c>
    </row>
    <row r="64" spans="2:24" x14ac:dyDescent="0.25">
      <c r="B64" s="39" t="s">
        <v>2</v>
      </c>
      <c r="C64" s="6">
        <v>62</v>
      </c>
      <c r="D64" s="6">
        <v>6</v>
      </c>
      <c r="E64" s="6"/>
      <c r="F64" s="6"/>
      <c r="G64" s="10">
        <f>(C64+D64+D64)*$O$9</f>
        <v>8.8800000000000001E-4</v>
      </c>
      <c r="H64" s="4"/>
      <c r="I64" s="9">
        <f>(C64+D64+D64)*$O$11</f>
        <v>259</v>
      </c>
      <c r="J64" s="4"/>
      <c r="K64" s="4">
        <f>(C64+D64+D64)*$O$10</f>
        <v>162.80000000000001</v>
      </c>
      <c r="L64" s="4"/>
      <c r="N64" s="39" t="s">
        <v>2</v>
      </c>
      <c r="O64" s="6"/>
      <c r="P64" s="6"/>
      <c r="Q64" s="6"/>
      <c r="R64" s="6"/>
      <c r="S64" s="10">
        <f>(O64+P64+P64)*$O$9</f>
        <v>0</v>
      </c>
      <c r="T64" s="4"/>
      <c r="U64" s="9">
        <f>(O64+P64+P64)*$O$11</f>
        <v>0</v>
      </c>
      <c r="V64" s="4"/>
      <c r="W64" s="4">
        <f>(O64+P64+P64)*$O$10</f>
        <v>0</v>
      </c>
      <c r="X64" s="4"/>
    </row>
    <row r="65" spans="2:24" x14ac:dyDescent="0.25">
      <c r="B65" s="5" t="s">
        <v>0</v>
      </c>
      <c r="C65" s="6"/>
      <c r="D65" s="6"/>
      <c r="E65" s="6"/>
      <c r="F65" s="6"/>
      <c r="G65" s="4"/>
      <c r="H65" s="4"/>
      <c r="I65" s="4"/>
      <c r="J65" s="4"/>
      <c r="K65" s="4"/>
      <c r="L65" s="4"/>
      <c r="N65" s="5" t="s">
        <v>0</v>
      </c>
      <c r="O65" s="6"/>
      <c r="P65" s="6"/>
      <c r="Q65" s="6"/>
      <c r="R65" s="6"/>
      <c r="S65" s="4"/>
      <c r="T65" s="4"/>
      <c r="U65" s="4"/>
      <c r="V65" s="4"/>
      <c r="W65" s="4"/>
      <c r="X65" s="4"/>
    </row>
    <row r="66" spans="2:24" x14ac:dyDescent="0.25">
      <c r="B66" s="39" t="s">
        <v>3</v>
      </c>
      <c r="C66" s="6">
        <v>12540</v>
      </c>
      <c r="D66" s="6">
        <v>4482</v>
      </c>
      <c r="E66" s="6"/>
      <c r="F66" s="6"/>
      <c r="G66" s="10">
        <f>(C66+D66)*$O$9</f>
        <v>0.204264</v>
      </c>
      <c r="H66" s="4"/>
      <c r="I66" s="9">
        <f>(C66+D66)*$O$11</f>
        <v>59577</v>
      </c>
      <c r="J66" s="4"/>
      <c r="K66" s="4">
        <f>(C66+D66)*$O$10</f>
        <v>37448.400000000001</v>
      </c>
      <c r="L66" s="4"/>
      <c r="N66" s="39" t="s">
        <v>3</v>
      </c>
      <c r="O66" s="6"/>
      <c r="P66" s="6"/>
      <c r="Q66" s="6"/>
      <c r="R66" s="6"/>
      <c r="S66" s="10">
        <f>(O66+P66)*$O$9</f>
        <v>0</v>
      </c>
      <c r="T66" s="4"/>
      <c r="U66" s="9">
        <f>(O66+P66)*$O$11</f>
        <v>0</v>
      </c>
      <c r="V66" s="4"/>
      <c r="W66" s="4">
        <f>(O66+P66)*$O$10</f>
        <v>0</v>
      </c>
      <c r="X66" s="4"/>
    </row>
    <row r="67" spans="2:24" x14ac:dyDescent="0.25">
      <c r="B67" s="39" t="s">
        <v>2</v>
      </c>
      <c r="C67" s="6">
        <v>824</v>
      </c>
      <c r="D67" s="6">
        <v>406</v>
      </c>
      <c r="E67" s="6"/>
      <c r="F67" s="6"/>
      <c r="G67" s="10">
        <f>(C67+D67+D67)*$O$9</f>
        <v>1.9632E-2</v>
      </c>
      <c r="H67" s="4"/>
      <c r="I67" s="9">
        <f>(C67+D67+D67)*$O$11</f>
        <v>5726</v>
      </c>
      <c r="J67" s="4"/>
      <c r="K67" s="4">
        <f>(C67+D67+D67)*$O$10</f>
        <v>3599.2000000000003</v>
      </c>
      <c r="L67" s="4"/>
      <c r="N67" s="39" t="s">
        <v>2</v>
      </c>
      <c r="O67" s="6"/>
      <c r="P67" s="6"/>
      <c r="Q67" s="6"/>
      <c r="R67" s="6"/>
      <c r="S67" s="10">
        <f>(O67+P67+P67)*$O$9</f>
        <v>0</v>
      </c>
      <c r="T67" s="4"/>
      <c r="U67" s="9">
        <f>(O67+P67+P67)*$O$11</f>
        <v>0</v>
      </c>
      <c r="V67" s="4"/>
      <c r="W67" s="4">
        <f>(O67+P67+P67)*$O$10</f>
        <v>0</v>
      </c>
      <c r="X67" s="4"/>
    </row>
    <row r="68" spans="2:24" x14ac:dyDescent="0.25">
      <c r="B68" s="16" t="s">
        <v>30</v>
      </c>
      <c r="C68" s="8"/>
      <c r="D68" s="8"/>
      <c r="E68" s="8"/>
      <c r="F68" s="8"/>
      <c r="G68" s="8"/>
      <c r="H68" s="8"/>
      <c r="I68" s="8"/>
      <c r="J68" s="8"/>
      <c r="K68" s="8"/>
      <c r="L68" s="8"/>
      <c r="N68" s="16" t="s">
        <v>30</v>
      </c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2:24" x14ac:dyDescent="0.25">
      <c r="B69" s="5" t="s">
        <v>1</v>
      </c>
      <c r="C69" s="6"/>
      <c r="D69" s="6"/>
      <c r="E69" s="4"/>
      <c r="F69" s="6"/>
      <c r="G69" s="4"/>
      <c r="H69" s="4"/>
      <c r="I69" s="4"/>
      <c r="J69" s="4"/>
      <c r="K69" s="4"/>
      <c r="L69" s="4"/>
      <c r="N69" s="5" t="s">
        <v>1</v>
      </c>
      <c r="O69" s="6"/>
      <c r="P69" s="6"/>
      <c r="Q69" s="3"/>
      <c r="R69" s="6"/>
      <c r="S69" s="4"/>
      <c r="T69" s="4"/>
      <c r="U69" s="4"/>
      <c r="V69" s="4"/>
      <c r="W69" s="4"/>
      <c r="X69" s="4"/>
    </row>
    <row r="70" spans="2:24" x14ac:dyDescent="0.25">
      <c r="B70" s="39" t="s">
        <v>3</v>
      </c>
      <c r="C70" s="6">
        <v>130</v>
      </c>
      <c r="D70" s="6">
        <v>130</v>
      </c>
      <c r="E70" s="14"/>
      <c r="F70" s="9">
        <f>E70*$O$7</f>
        <v>0</v>
      </c>
      <c r="G70" s="10">
        <f>(C70+D70)*$O$9</f>
        <v>3.1199999999999999E-3</v>
      </c>
      <c r="H70" s="11">
        <f>-(E70+F70)*$O$9</f>
        <v>0</v>
      </c>
      <c r="I70" s="9">
        <f>((C70+D70)*$O$11)+E70*$O$12</f>
        <v>910</v>
      </c>
      <c r="J70" s="4">
        <f>-((F70*$O$11)+(E70*$O$11))</f>
        <v>0</v>
      </c>
      <c r="K70" s="4">
        <f>(C70+D70)*$O$10</f>
        <v>572</v>
      </c>
      <c r="L70" s="4">
        <f>-((F70*$O$10)+(E70*$O$10))</f>
        <v>0</v>
      </c>
      <c r="N70" s="39" t="s">
        <v>3</v>
      </c>
      <c r="O70" s="6">
        <v>47</v>
      </c>
      <c r="P70" s="6">
        <v>47</v>
      </c>
      <c r="R70" s="9">
        <f>Q70*$O$7</f>
        <v>0</v>
      </c>
      <c r="S70" s="10">
        <f>(O70+P70)*$O$9</f>
        <v>1.1280000000000001E-3</v>
      </c>
      <c r="T70" s="11">
        <f>-(Q70+R70)*$O$9</f>
        <v>0</v>
      </c>
      <c r="U70" s="9">
        <f>((O70+P70)*$O$11)+Q70*$O$12</f>
        <v>329</v>
      </c>
      <c r="V70" s="4">
        <f>-((R70*$O$11)+(Q70*$O$11))</f>
        <v>0</v>
      </c>
      <c r="W70" s="4">
        <f>(O70+P70)*$O$10</f>
        <v>206.8</v>
      </c>
      <c r="X70" s="4">
        <f>-((R70*$O$10)+(Q70*$O$10))</f>
        <v>0</v>
      </c>
    </row>
    <row r="71" spans="2:24" x14ac:dyDescent="0.25">
      <c r="B71" s="5" t="s">
        <v>0</v>
      </c>
      <c r="C71" s="6"/>
      <c r="D71" s="6"/>
      <c r="E71" s="4"/>
      <c r="F71" s="6"/>
      <c r="G71" s="4"/>
      <c r="H71" s="4"/>
      <c r="I71" s="4"/>
      <c r="J71" s="4"/>
      <c r="K71" s="4"/>
      <c r="L71" s="4"/>
      <c r="N71" s="5" t="s">
        <v>0</v>
      </c>
      <c r="O71" s="6"/>
      <c r="P71" s="6"/>
      <c r="Q71" s="3"/>
      <c r="R71" s="6"/>
      <c r="S71" s="4"/>
      <c r="T71" s="4"/>
      <c r="U71" s="4"/>
      <c r="V71" s="4"/>
      <c r="W71" s="4"/>
      <c r="X71" s="4"/>
    </row>
    <row r="72" spans="2:24" x14ac:dyDescent="0.25">
      <c r="B72" s="39" t="s">
        <v>3</v>
      </c>
      <c r="C72" s="6">
        <v>308</v>
      </c>
      <c r="D72" s="6">
        <v>308</v>
      </c>
      <c r="E72" s="14"/>
      <c r="F72" s="9">
        <f>E72*$O$7</f>
        <v>0</v>
      </c>
      <c r="G72" s="10">
        <f>(C72+D72)*$O$9</f>
        <v>7.3920000000000001E-3</v>
      </c>
      <c r="H72" s="11">
        <f>-(E72+F72)*$O$9</f>
        <v>0</v>
      </c>
      <c r="I72" s="9">
        <f>((C72+D72)*$O$11)+E72*$O$12</f>
        <v>2156</v>
      </c>
      <c r="J72" s="4">
        <f>-((F72*$O$11)+(E72*$O$11))</f>
        <v>0</v>
      </c>
      <c r="K72" s="4">
        <f>(C72+D72)*$O$10</f>
        <v>1355.2</v>
      </c>
      <c r="L72" s="4">
        <f>-((F72*$O$10)+(E72*$O$10))</f>
        <v>0</v>
      </c>
      <c r="N72" s="39" t="s">
        <v>3</v>
      </c>
      <c r="O72" s="6"/>
      <c r="P72" s="6"/>
      <c r="R72" s="9">
        <f>Q72*$O$7</f>
        <v>0</v>
      </c>
      <c r="S72" s="10">
        <f>(O72+P72)*$O$9</f>
        <v>0</v>
      </c>
      <c r="T72" s="11">
        <f>-(Q72+R72)*$O$9</f>
        <v>0</v>
      </c>
      <c r="U72" s="9">
        <f>((O72+P72)*$O$11)+Q72*$O$12</f>
        <v>0</v>
      </c>
      <c r="V72" s="4">
        <f>-((R72*$O$11)+(Q72*$O$11))</f>
        <v>0</v>
      </c>
      <c r="W72" s="4">
        <f>(O72+P72)*$O$10</f>
        <v>0</v>
      </c>
      <c r="X72" s="4">
        <f>-((R72*$O$10)+(Q72*$O$10))</f>
        <v>0</v>
      </c>
    </row>
    <row r="73" spans="2:24" x14ac:dyDescent="0.25">
      <c r="B73" s="15" t="s">
        <v>4</v>
      </c>
      <c r="C73" s="7"/>
      <c r="D73" s="7"/>
      <c r="E73" s="7"/>
      <c r="F73" s="7"/>
      <c r="G73" s="7"/>
      <c r="H73" s="7"/>
      <c r="I73" s="7"/>
      <c r="J73" s="7"/>
      <c r="K73" s="7"/>
      <c r="L73" s="7"/>
      <c r="N73" s="15" t="s">
        <v>4</v>
      </c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2:24" x14ac:dyDescent="0.25">
      <c r="B74" s="16" t="s">
        <v>8</v>
      </c>
      <c r="C74" s="8"/>
      <c r="D74" s="8"/>
      <c r="E74" s="8"/>
      <c r="F74" s="8"/>
      <c r="G74" s="8"/>
      <c r="H74" s="8"/>
      <c r="I74" s="8"/>
      <c r="J74" s="8"/>
      <c r="K74" s="8"/>
      <c r="L74" s="8"/>
      <c r="N74" s="16" t="s">
        <v>8</v>
      </c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2:24" x14ac:dyDescent="0.25">
      <c r="B75" s="5" t="s">
        <v>1</v>
      </c>
      <c r="C75" s="3"/>
      <c r="D75" s="3"/>
      <c r="E75" s="4"/>
      <c r="F75" s="9"/>
      <c r="G75" s="4"/>
      <c r="H75" s="4"/>
      <c r="I75" s="4"/>
      <c r="J75" s="4"/>
      <c r="K75" s="4"/>
      <c r="L75" s="4"/>
      <c r="N75" s="5" t="s">
        <v>1</v>
      </c>
      <c r="O75" s="3"/>
      <c r="P75" s="3"/>
      <c r="Q75" s="4"/>
      <c r="R75" s="9"/>
      <c r="S75" s="4"/>
      <c r="T75" s="4"/>
      <c r="U75" s="4"/>
      <c r="V75" s="4"/>
      <c r="W75" s="4"/>
      <c r="X75" s="4"/>
    </row>
    <row r="76" spans="2:24" x14ac:dyDescent="0.25">
      <c r="B76" s="39" t="s">
        <v>3</v>
      </c>
      <c r="C76" s="4"/>
      <c r="D76" s="4"/>
      <c r="E76" s="4">
        <v>2898</v>
      </c>
      <c r="F76" s="9">
        <f>E76*$O$6</f>
        <v>7245</v>
      </c>
      <c r="G76" s="4"/>
      <c r="H76" s="11">
        <f>-(E76+F76)*$O$9</f>
        <v>-0.121716</v>
      </c>
      <c r="I76" s="9">
        <f>(E76*$O$12)</f>
        <v>6085.8</v>
      </c>
      <c r="J76" s="4">
        <f>-((F76*$O$11)+(E76*$O$11))</f>
        <v>-35500.5</v>
      </c>
      <c r="K76" s="4"/>
      <c r="L76" s="4">
        <f>-((F76*$O$10)+(E76*$O$10))</f>
        <v>-22314.600000000002</v>
      </c>
      <c r="N76" s="39" t="s">
        <v>3</v>
      </c>
      <c r="O76" s="4"/>
      <c r="P76" s="4"/>
      <c r="Q76" s="3">
        <v>533</v>
      </c>
      <c r="R76" s="9">
        <f>Q76*$O$6</f>
        <v>1332.5</v>
      </c>
      <c r="S76" s="4"/>
      <c r="T76" s="11">
        <f>-(Q76+R76)*$O$9</f>
        <v>-2.2386E-2</v>
      </c>
      <c r="U76" s="9">
        <f>(Q76*$O$12)</f>
        <v>1119.3</v>
      </c>
      <c r="V76" s="4">
        <f>-((R76*$O$11)+(Q76*$O$11))</f>
        <v>-6529.25</v>
      </c>
      <c r="W76" s="4"/>
      <c r="X76" s="4">
        <f>-((R76*$O$10)+(Q76*$O$10))</f>
        <v>-4104.1000000000004</v>
      </c>
    </row>
    <row r="77" spans="2:24" x14ac:dyDescent="0.25">
      <c r="B77" s="5" t="s">
        <v>0</v>
      </c>
      <c r="C77" s="4"/>
      <c r="D77" s="4"/>
      <c r="E77" s="4"/>
      <c r="F77" s="4"/>
      <c r="G77" s="4"/>
      <c r="H77" s="4"/>
      <c r="I77" s="4"/>
      <c r="J77" s="4"/>
      <c r="K77" s="4"/>
      <c r="L77" s="4"/>
      <c r="N77" s="5" t="s">
        <v>0</v>
      </c>
      <c r="O77" s="4"/>
      <c r="P77" s="4"/>
      <c r="Q77" s="3"/>
      <c r="R77" s="4"/>
      <c r="S77" s="4"/>
      <c r="T77" s="4"/>
      <c r="U77" s="4"/>
      <c r="V77" s="4"/>
      <c r="W77" s="4"/>
      <c r="X77" s="4"/>
    </row>
    <row r="78" spans="2:24" x14ac:dyDescent="0.25">
      <c r="B78" s="39" t="s">
        <v>3</v>
      </c>
      <c r="C78" s="4">
        <v>66423</v>
      </c>
      <c r="D78" s="4">
        <v>17923</v>
      </c>
      <c r="E78" s="4"/>
      <c r="F78" s="4"/>
      <c r="G78" s="10">
        <f>(C78+D78)*$O$9</f>
        <v>1.0121519999999999</v>
      </c>
      <c r="H78" s="4"/>
      <c r="I78" s="9">
        <f>(C78+D78)*$O$11</f>
        <v>295211</v>
      </c>
      <c r="J78" s="4"/>
      <c r="K78" s="4">
        <f>(C78+D78)*$O$10</f>
        <v>185561.2</v>
      </c>
      <c r="L78" s="4"/>
      <c r="N78" s="39" t="s">
        <v>3</v>
      </c>
      <c r="O78" s="4">
        <v>17944</v>
      </c>
      <c r="P78" s="4">
        <v>5024</v>
      </c>
      <c r="Q78" s="3"/>
      <c r="R78" s="4"/>
      <c r="S78" s="10">
        <f>(O78+P78)*$O$9</f>
        <v>0.27561600000000003</v>
      </c>
      <c r="T78" s="4"/>
      <c r="U78" s="9">
        <f>(O78+P78)*$O$11</f>
        <v>80388</v>
      </c>
      <c r="V78" s="4"/>
      <c r="W78" s="4">
        <f>(O78+P78)*$O$10</f>
        <v>50529.600000000006</v>
      </c>
      <c r="X78" s="4"/>
    </row>
    <row r="79" spans="2:24" x14ac:dyDescent="0.25">
      <c r="B79" s="16" t="s">
        <v>5</v>
      </c>
      <c r="C79" s="8"/>
      <c r="D79" s="8"/>
      <c r="E79" s="8"/>
      <c r="F79" s="8"/>
      <c r="G79" s="8"/>
      <c r="H79" s="8"/>
      <c r="I79" s="8"/>
      <c r="J79" s="8"/>
      <c r="K79" s="8"/>
      <c r="L79" s="8"/>
      <c r="N79" s="16" t="s">
        <v>5</v>
      </c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2:24" x14ac:dyDescent="0.25">
      <c r="B80" s="5" t="s">
        <v>1</v>
      </c>
      <c r="C80" s="4"/>
      <c r="D80" s="4"/>
      <c r="E80" s="4"/>
      <c r="F80" s="4"/>
      <c r="G80" s="4"/>
      <c r="H80" s="4"/>
      <c r="I80" s="4"/>
      <c r="J80" s="4"/>
      <c r="K80" s="4"/>
      <c r="L80" s="4"/>
      <c r="N80" s="5" t="s">
        <v>1</v>
      </c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2:24" x14ac:dyDescent="0.25">
      <c r="B81" s="39" t="s">
        <v>2</v>
      </c>
      <c r="C81" s="4">
        <v>2000</v>
      </c>
      <c r="D81" s="4">
        <v>1000</v>
      </c>
      <c r="E81" s="14"/>
      <c r="F81" s="4"/>
      <c r="G81" s="10">
        <f>(C81+D81+D81)*$O$9</f>
        <v>4.8000000000000001E-2</v>
      </c>
      <c r="H81" s="4"/>
      <c r="I81" s="9">
        <f>(C81+D81+D81)*$O$11</f>
        <v>14000</v>
      </c>
      <c r="J81" s="4"/>
      <c r="K81" s="4">
        <f>(C81+D81+D81)*$O$10</f>
        <v>8800</v>
      </c>
      <c r="L81" s="4"/>
      <c r="N81" s="39" t="s">
        <v>2</v>
      </c>
      <c r="O81" s="4">
        <v>2134</v>
      </c>
      <c r="P81" s="4">
        <v>1066</v>
      </c>
      <c r="R81" s="4"/>
      <c r="S81" s="10">
        <f>(O81+P81+P81)*$O$9</f>
        <v>5.1192000000000001E-2</v>
      </c>
      <c r="T81" s="4"/>
      <c r="U81" s="9">
        <f>(O81+P81+P81)*$O$11</f>
        <v>14931</v>
      </c>
      <c r="V81" s="4"/>
      <c r="W81" s="4">
        <f>(O81+P81+P81)*$O$10</f>
        <v>9385.2000000000007</v>
      </c>
      <c r="X81" s="4"/>
    </row>
    <row r="82" spans="2:24" x14ac:dyDescent="0.25">
      <c r="B82" s="5" t="s">
        <v>0</v>
      </c>
      <c r="C82" s="4"/>
      <c r="D82" s="4"/>
      <c r="E82" s="4"/>
      <c r="F82" s="4"/>
      <c r="G82" s="4"/>
      <c r="H82" s="4"/>
      <c r="I82" s="4"/>
      <c r="J82" s="4"/>
      <c r="K82" s="4"/>
      <c r="L82" s="4"/>
      <c r="N82" s="5" t="s">
        <v>0</v>
      </c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2:24" ht="15.75" thickBot="1" x14ac:dyDescent="0.3">
      <c r="B83" s="40" t="s">
        <v>2</v>
      </c>
      <c r="C83" s="34">
        <v>11306</v>
      </c>
      <c r="D83" s="34">
        <v>5632</v>
      </c>
      <c r="E83" s="34"/>
      <c r="F83" s="34"/>
      <c r="G83" s="42">
        <f>(C83+D83+D83)*$O$9</f>
        <v>0.27084000000000003</v>
      </c>
      <c r="H83" s="34"/>
      <c r="I83" s="43">
        <f>(C83+D83+D83)*$O$11</f>
        <v>78995</v>
      </c>
      <c r="J83" s="34"/>
      <c r="K83" s="34">
        <f>(C83+D83+D83)*$O$10</f>
        <v>49654.000000000007</v>
      </c>
      <c r="L83" s="34"/>
      <c r="N83" s="40" t="s">
        <v>2</v>
      </c>
      <c r="O83" s="34">
        <v>13360</v>
      </c>
      <c r="P83" s="34">
        <v>6419</v>
      </c>
      <c r="Q83" s="34"/>
      <c r="R83" s="34"/>
      <c r="S83" s="42">
        <f>(O83+P83+P83)*$O$9</f>
        <v>0.31437599999999999</v>
      </c>
      <c r="T83" s="34"/>
      <c r="U83" s="43">
        <f>(O83+P83+P83)*$O$11</f>
        <v>91693</v>
      </c>
      <c r="V83" s="34"/>
      <c r="W83" s="34">
        <f>(O83+P83+P83)*$O$10</f>
        <v>57635.600000000006</v>
      </c>
      <c r="X83" s="34"/>
    </row>
    <row r="84" spans="2:24" ht="15.75" thickBot="1" x14ac:dyDescent="0.3">
      <c r="B84" s="25" t="s">
        <v>24</v>
      </c>
      <c r="C84" s="26">
        <f t="shared" ref="C84:L84" si="1">SUM(C47:C83)</f>
        <v>1331301</v>
      </c>
      <c r="D84" s="26">
        <f t="shared" si="1"/>
        <v>377498</v>
      </c>
      <c r="E84" s="26">
        <f t="shared" si="1"/>
        <v>343288</v>
      </c>
      <c r="F84" s="26">
        <f t="shared" si="1"/>
        <v>863250.7</v>
      </c>
      <c r="G84" s="52">
        <f t="shared" si="1"/>
        <v>20.827895999999996</v>
      </c>
      <c r="H84" s="52">
        <f t="shared" si="1"/>
        <v>-14.478464399999998</v>
      </c>
      <c r="I84" s="28">
        <f t="shared" si="1"/>
        <v>6795707.7999999998</v>
      </c>
      <c r="J84" s="28">
        <f t="shared" si="1"/>
        <v>-4222885.45</v>
      </c>
      <c r="K84" s="30">
        <f t="shared" si="1"/>
        <v>3818447.6000000006</v>
      </c>
      <c r="L84" s="51">
        <f t="shared" si="1"/>
        <v>-2654385.14</v>
      </c>
      <c r="N84" s="25" t="s">
        <v>24</v>
      </c>
      <c r="O84" s="26">
        <f t="shared" ref="O84:X84" si="2">SUM(O47:O83)</f>
        <v>1020386</v>
      </c>
      <c r="P84" s="26">
        <f t="shared" si="2"/>
        <v>321270</v>
      </c>
      <c r="Q84" s="26">
        <f t="shared" si="2"/>
        <v>213295</v>
      </c>
      <c r="R84" s="26">
        <f t="shared" si="2"/>
        <v>540282.69999999995</v>
      </c>
      <c r="S84" s="52">
        <f t="shared" si="2"/>
        <v>16.435751999999997</v>
      </c>
      <c r="T84" s="52">
        <f t="shared" si="2"/>
        <v>-9.0429323999999998</v>
      </c>
      <c r="U84" s="28">
        <f t="shared" si="2"/>
        <v>5241680.5</v>
      </c>
      <c r="V84" s="28">
        <f t="shared" si="2"/>
        <v>-2637521.9500000002</v>
      </c>
      <c r="W84" s="30">
        <f t="shared" si="2"/>
        <v>3013221.2</v>
      </c>
      <c r="X84" s="51">
        <f t="shared" si="2"/>
        <v>-1657870.9400000002</v>
      </c>
    </row>
  </sheetData>
  <mergeCells count="18">
    <mergeCell ref="C4:D4"/>
    <mergeCell ref="E4:F4"/>
    <mergeCell ref="C45:D45"/>
    <mergeCell ref="E45:F45"/>
    <mergeCell ref="B2:L2"/>
    <mergeCell ref="G4:H4"/>
    <mergeCell ref="I4:J4"/>
    <mergeCell ref="K4:L4"/>
    <mergeCell ref="G45:H45"/>
    <mergeCell ref="I45:J45"/>
    <mergeCell ref="K45:L45"/>
    <mergeCell ref="B43:L43"/>
    <mergeCell ref="N43:X43"/>
    <mergeCell ref="O45:P45"/>
    <mergeCell ref="Q45:R45"/>
    <mergeCell ref="S45:T45"/>
    <mergeCell ref="U45:V45"/>
    <mergeCell ref="W45:X4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2CC3-F6D8-4623-9085-942AA376B2E6}">
  <sheetPr>
    <tabColor theme="9" tint="0.59999389629810485"/>
    <pageSetUpPr fitToPage="1"/>
  </sheetPr>
  <dimension ref="B2:P23"/>
  <sheetViews>
    <sheetView zoomScale="80" zoomScaleNormal="80" workbookViewId="0">
      <selection activeCell="C23" sqref="C23"/>
    </sheetView>
  </sheetViews>
  <sheetFormatPr defaultRowHeight="15" x14ac:dyDescent="0.25"/>
  <cols>
    <col min="1" max="1" width="3" customWidth="1"/>
    <col min="2" max="2" width="18.28515625" bestFit="1" customWidth="1"/>
    <col min="3" max="3" width="13.28515625" bestFit="1" customWidth="1"/>
    <col min="4" max="4" width="12" bestFit="1" customWidth="1"/>
    <col min="5" max="5" width="11.85546875" customWidth="1"/>
    <col min="6" max="6" width="19" bestFit="1" customWidth="1"/>
    <col min="7" max="7" width="10.42578125" bestFit="1" customWidth="1"/>
    <col min="8" max="8" width="12.7109375" bestFit="1" customWidth="1"/>
    <col min="9" max="9" width="11.7109375" bestFit="1" customWidth="1"/>
    <col min="10" max="10" width="13.42578125" bestFit="1" customWidth="1"/>
    <col min="11" max="11" width="10.42578125" bestFit="1" customWidth="1"/>
    <col min="12" max="12" width="13.42578125" bestFit="1" customWidth="1"/>
    <col min="13" max="13" width="9.140625" bestFit="1" customWidth="1"/>
    <col min="14" max="14" width="25.5703125" bestFit="1" customWidth="1"/>
    <col min="15" max="15" width="9" bestFit="1" customWidth="1"/>
    <col min="16" max="16" width="8.7109375" bestFit="1" customWidth="1"/>
  </cols>
  <sheetData>
    <row r="2" spans="2:16" x14ac:dyDescent="0.25">
      <c r="B2" s="230" t="s">
        <v>31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N2" t="s">
        <v>17</v>
      </c>
    </row>
    <row r="3" spans="2:16" x14ac:dyDescent="0.25">
      <c r="B3" s="3"/>
      <c r="C3" s="3"/>
      <c r="D3" s="3"/>
      <c r="E3" s="3"/>
      <c r="F3" s="3"/>
      <c r="G3" s="232" t="s">
        <v>32</v>
      </c>
      <c r="H3" s="232"/>
      <c r="I3" s="233" t="s">
        <v>33</v>
      </c>
      <c r="J3" s="233"/>
      <c r="K3" s="234" t="s">
        <v>34</v>
      </c>
      <c r="L3" s="234"/>
      <c r="N3" s="20" t="s">
        <v>18</v>
      </c>
      <c r="O3" s="20">
        <v>1.2E-5</v>
      </c>
      <c r="P3" s="20" t="s">
        <v>21</v>
      </c>
    </row>
    <row r="4" spans="2:16" x14ac:dyDescent="0.25">
      <c r="B4" s="3" t="s">
        <v>35</v>
      </c>
      <c r="C4" s="12" t="s">
        <v>9</v>
      </c>
      <c r="D4" s="12" t="s">
        <v>36</v>
      </c>
      <c r="E4" s="12" t="s">
        <v>13</v>
      </c>
      <c r="F4" s="12" t="s">
        <v>37</v>
      </c>
      <c r="G4" s="17" t="s">
        <v>22</v>
      </c>
      <c r="H4" s="17" t="s">
        <v>23</v>
      </c>
      <c r="I4" s="18" t="s">
        <v>22</v>
      </c>
      <c r="J4" s="18" t="s">
        <v>23</v>
      </c>
      <c r="K4" s="19" t="s">
        <v>22</v>
      </c>
      <c r="L4" s="19" t="s">
        <v>23</v>
      </c>
      <c r="N4" s="20" t="s">
        <v>19</v>
      </c>
      <c r="O4" s="20">
        <v>2.2000000000000002</v>
      </c>
      <c r="P4" s="20" t="s">
        <v>26</v>
      </c>
    </row>
    <row r="5" spans="2:16" x14ac:dyDescent="0.25">
      <c r="B5" s="21" t="s">
        <v>38</v>
      </c>
      <c r="C5" s="4">
        <v>669150</v>
      </c>
      <c r="D5" s="4">
        <v>32084</v>
      </c>
      <c r="E5" s="235">
        <f>66536+5591</f>
        <v>72127</v>
      </c>
      <c r="F5" s="235">
        <f>E5*$O$8</f>
        <v>1442540</v>
      </c>
      <c r="G5" s="22"/>
      <c r="H5" s="22">
        <f>-C5*$O$3-D5*$O$3</f>
        <v>-8.4148080000000007</v>
      </c>
      <c r="I5" s="236">
        <f>E5*$O$6</f>
        <v>151466.70000000001</v>
      </c>
      <c r="J5" s="23">
        <f>-C5*$O$5-D5*$O$5</f>
        <v>-2454319</v>
      </c>
      <c r="K5" s="3"/>
      <c r="L5" s="4">
        <f>-C5*$O$4-D5*$O$4</f>
        <v>-1542714.8000000003</v>
      </c>
      <c r="N5" s="24" t="s">
        <v>39</v>
      </c>
      <c r="O5" s="24">
        <v>3.5</v>
      </c>
      <c r="P5" s="24" t="s">
        <v>25</v>
      </c>
    </row>
    <row r="6" spans="2:16" ht="15.75" thickBot="1" x14ac:dyDescent="0.3">
      <c r="B6" s="21" t="s">
        <v>40</v>
      </c>
      <c r="C6" s="4">
        <v>476228</v>
      </c>
      <c r="D6" s="4">
        <v>24092</v>
      </c>
      <c r="E6" s="235"/>
      <c r="F6" s="235"/>
      <c r="G6" s="22"/>
      <c r="H6" s="22">
        <f>-C6*$O$3-D6*$O$3</f>
        <v>-6.0038400000000003</v>
      </c>
      <c r="I6" s="237"/>
      <c r="J6" s="23">
        <f>-C6*$O$5-D6*$O$5</f>
        <v>-1751120</v>
      </c>
      <c r="K6" s="3"/>
      <c r="L6" s="4">
        <f>-C6*$O$4-D6*$O$4</f>
        <v>-1100704</v>
      </c>
      <c r="N6" s="20" t="s">
        <v>41</v>
      </c>
      <c r="O6" s="20">
        <v>2.1</v>
      </c>
      <c r="P6" s="20" t="s">
        <v>25</v>
      </c>
    </row>
    <row r="7" spans="2:16" ht="15.75" thickBot="1" x14ac:dyDescent="0.3">
      <c r="B7" s="25" t="s">
        <v>42</v>
      </c>
      <c r="C7" s="26">
        <f>SUM(C5:C6)</f>
        <v>1145378</v>
      </c>
      <c r="D7" s="26">
        <f>SUM(D5:D6)</f>
        <v>56176</v>
      </c>
      <c r="E7" s="26">
        <f>SUM(E5)</f>
        <v>72127</v>
      </c>
      <c r="F7" s="26">
        <f>SUM(F5)</f>
        <v>1442540</v>
      </c>
      <c r="G7" s="27"/>
      <c r="H7" s="27">
        <f>SUM(H5:H6)</f>
        <v>-14.418648000000001</v>
      </c>
      <c r="I7" s="28">
        <f t="shared" ref="I7" si="0">SUM(I5)</f>
        <v>151466.70000000001</v>
      </c>
      <c r="J7" s="29">
        <f>SUM(J5:J6)</f>
        <v>-4205439</v>
      </c>
      <c r="K7" s="30"/>
      <c r="L7" s="31">
        <f>SUM(L5:L6)</f>
        <v>-2643418.8000000003</v>
      </c>
    </row>
    <row r="8" spans="2:16" x14ac:dyDescent="0.25">
      <c r="N8" t="s">
        <v>43</v>
      </c>
      <c r="O8">
        <v>20</v>
      </c>
    </row>
    <row r="10" spans="2:16" x14ac:dyDescent="0.25">
      <c r="B10" s="230" t="s">
        <v>27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</row>
    <row r="11" spans="2:16" x14ac:dyDescent="0.25">
      <c r="B11" s="3"/>
      <c r="C11" s="3"/>
      <c r="D11" s="3"/>
      <c r="E11" s="3"/>
      <c r="F11" s="3"/>
      <c r="G11" s="232" t="s">
        <v>32</v>
      </c>
      <c r="H11" s="232"/>
      <c r="I11" s="233" t="s">
        <v>33</v>
      </c>
      <c r="J11" s="233"/>
      <c r="K11" s="234" t="s">
        <v>34</v>
      </c>
      <c r="L11" s="234"/>
    </row>
    <row r="12" spans="2:16" x14ac:dyDescent="0.25">
      <c r="B12" s="3" t="s">
        <v>35</v>
      </c>
      <c r="C12" s="12" t="s">
        <v>9</v>
      </c>
      <c r="D12" s="12" t="s">
        <v>36</v>
      </c>
      <c r="E12" s="12" t="s">
        <v>13</v>
      </c>
      <c r="F12" s="12" t="s">
        <v>37</v>
      </c>
      <c r="G12" s="17" t="s">
        <v>22</v>
      </c>
      <c r="H12" s="17" t="s">
        <v>23</v>
      </c>
      <c r="I12" s="18" t="s">
        <v>22</v>
      </c>
      <c r="J12" s="18" t="s">
        <v>23</v>
      </c>
      <c r="K12" s="19" t="s">
        <v>22</v>
      </c>
      <c r="L12" s="19" t="s">
        <v>23</v>
      </c>
    </row>
    <row r="13" spans="2:16" x14ac:dyDescent="0.25">
      <c r="B13" s="21" t="s">
        <v>38</v>
      </c>
      <c r="C13" s="4">
        <v>237448</v>
      </c>
      <c r="D13" s="4">
        <v>11913</v>
      </c>
      <c r="E13" s="238">
        <v>31031</v>
      </c>
      <c r="F13" s="238">
        <f>E13*$O$8</f>
        <v>620620</v>
      </c>
      <c r="G13" s="22"/>
      <c r="H13" s="22">
        <f>-C13*$O$3-D13*$O$3</f>
        <v>-2.9923319999999998</v>
      </c>
      <c r="I13" s="236">
        <f>E13*$O$6</f>
        <v>65165.100000000006</v>
      </c>
      <c r="J13" s="23">
        <f>-C13*$O$5-D13*$O$5</f>
        <v>-872763.5</v>
      </c>
      <c r="K13" s="3"/>
      <c r="L13" s="4">
        <f>-C13*$O$4-D13*$O$4</f>
        <v>-548594.20000000007</v>
      </c>
      <c r="M13" s="32"/>
    </row>
    <row r="14" spans="2:16" ht="15.75" thickBot="1" x14ac:dyDescent="0.3">
      <c r="B14" s="33" t="s">
        <v>40</v>
      </c>
      <c r="C14" s="34">
        <v>208940</v>
      </c>
      <c r="D14" s="34">
        <v>10856</v>
      </c>
      <c r="E14" s="236"/>
      <c r="F14" s="236"/>
      <c r="G14" s="35"/>
      <c r="H14" s="35">
        <f>-C14*$O$3-D14*$O$3</f>
        <v>-2.6375520000000003</v>
      </c>
      <c r="I14" s="239"/>
      <c r="J14" s="23">
        <f>-C14*$O$5-D14*$O$5</f>
        <v>-769286</v>
      </c>
      <c r="K14" s="36"/>
      <c r="L14" s="34">
        <f>-C14*$O$4-D14*$O$4</f>
        <v>-483551.20000000007</v>
      </c>
      <c r="M14" s="32"/>
    </row>
    <row r="15" spans="2:16" ht="15.75" thickBot="1" x14ac:dyDescent="0.3">
      <c r="B15" s="25" t="s">
        <v>42</v>
      </c>
      <c r="C15" s="26">
        <f>SUM(C13:C14)</f>
        <v>446388</v>
      </c>
      <c r="D15" s="26">
        <f>SUM(D13:D14)</f>
        <v>22769</v>
      </c>
      <c r="E15" s="26">
        <f>SUM(E13)</f>
        <v>31031</v>
      </c>
      <c r="F15" s="26">
        <f>SUM(F13)</f>
        <v>620620</v>
      </c>
      <c r="G15" s="27"/>
      <c r="H15" s="27">
        <f>SUM(H13:H14)</f>
        <v>-5.6298840000000006</v>
      </c>
      <c r="I15" s="28">
        <f>SUM(I13)</f>
        <v>65165.100000000006</v>
      </c>
      <c r="J15" s="29">
        <f>SUM(J13:J14)</f>
        <v>-1642049.5</v>
      </c>
      <c r="K15" s="30"/>
      <c r="L15" s="31">
        <f>SUM(L13:L14)</f>
        <v>-1032145.4000000001</v>
      </c>
    </row>
    <row r="18" spans="2:12" x14ac:dyDescent="0.25">
      <c r="B18" s="230" t="s">
        <v>28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</row>
    <row r="19" spans="2:12" x14ac:dyDescent="0.25">
      <c r="B19" s="3"/>
      <c r="C19" s="3"/>
      <c r="D19" s="3"/>
      <c r="E19" s="3"/>
      <c r="F19" s="3"/>
      <c r="G19" s="232" t="s">
        <v>32</v>
      </c>
      <c r="H19" s="232"/>
      <c r="I19" s="233" t="s">
        <v>33</v>
      </c>
      <c r="J19" s="233"/>
      <c r="K19" s="234" t="s">
        <v>34</v>
      </c>
      <c r="L19" s="234"/>
    </row>
    <row r="20" spans="2:12" x14ac:dyDescent="0.25">
      <c r="B20" s="3" t="s">
        <v>35</v>
      </c>
      <c r="C20" s="12" t="s">
        <v>9</v>
      </c>
      <c r="D20" s="12" t="s">
        <v>36</v>
      </c>
      <c r="E20" s="12" t="s">
        <v>13</v>
      </c>
      <c r="F20" s="12" t="s">
        <v>37</v>
      </c>
      <c r="G20" s="17" t="s">
        <v>22</v>
      </c>
      <c r="H20" s="17" t="s">
        <v>23</v>
      </c>
      <c r="I20" s="18" t="s">
        <v>22</v>
      </c>
      <c r="J20" s="18" t="s">
        <v>23</v>
      </c>
      <c r="K20" s="19" t="s">
        <v>22</v>
      </c>
      <c r="L20" s="19" t="s">
        <v>23</v>
      </c>
    </row>
    <row r="21" spans="2:12" x14ac:dyDescent="0.25">
      <c r="B21" s="37" t="s">
        <v>38</v>
      </c>
      <c r="C21" s="4">
        <v>198189</v>
      </c>
      <c r="D21" s="4">
        <v>8742</v>
      </c>
      <c r="E21" s="238">
        <f>11201+5591</f>
        <v>16792</v>
      </c>
      <c r="F21" s="238">
        <f>E21*$O$8</f>
        <v>335840</v>
      </c>
      <c r="G21" s="22"/>
      <c r="H21" s="22">
        <f>-C21*$O$3-D21*$O$3</f>
        <v>-2.4831720000000002</v>
      </c>
      <c r="I21" s="236">
        <f>E21*$O$6</f>
        <v>35263.200000000004</v>
      </c>
      <c r="J21" s="23">
        <f>-C21*$O$5-D21*$O$5</f>
        <v>-724258.5</v>
      </c>
      <c r="K21" s="3"/>
      <c r="L21" s="4">
        <f>-C21*$O$4-D21*$O$4</f>
        <v>-455248.20000000007</v>
      </c>
    </row>
    <row r="22" spans="2:12" ht="15.75" thickBot="1" x14ac:dyDescent="0.3">
      <c r="B22" s="37" t="s">
        <v>40</v>
      </c>
      <c r="C22" s="4">
        <v>140340</v>
      </c>
      <c r="D22" s="4">
        <v>6638</v>
      </c>
      <c r="E22" s="238"/>
      <c r="F22" s="238"/>
      <c r="G22" s="22"/>
      <c r="H22" s="22">
        <f>-C22*$O$3-D22*$O$3</f>
        <v>-1.763736</v>
      </c>
      <c r="I22" s="237"/>
      <c r="J22" s="23">
        <f>-C22*$O$5-D22*$O$5</f>
        <v>-514423</v>
      </c>
      <c r="K22" s="3"/>
      <c r="L22" s="4">
        <f>-C22*$O$4-D22*$O$4</f>
        <v>-323351.59999999998</v>
      </c>
    </row>
    <row r="23" spans="2:12" ht="15.75" thickBot="1" x14ac:dyDescent="0.3">
      <c r="B23" s="25" t="s">
        <v>42</v>
      </c>
      <c r="C23" s="26">
        <f>SUM(C21:C22)</f>
        <v>338529</v>
      </c>
      <c r="D23" s="26">
        <f>SUM(D21:D22)</f>
        <v>15380</v>
      </c>
      <c r="E23" s="26">
        <f>SUM(E21)</f>
        <v>16792</v>
      </c>
      <c r="F23" s="26">
        <f>SUM(F21)</f>
        <v>335840</v>
      </c>
      <c r="G23" s="27"/>
      <c r="H23" s="27">
        <f>SUM(H21:H22)</f>
        <v>-4.2469080000000003</v>
      </c>
      <c r="I23" s="28">
        <f t="shared" ref="I23" si="1">SUM(I21)</f>
        <v>35263.200000000004</v>
      </c>
      <c r="J23" s="29">
        <f>SUM(J21:J22)</f>
        <v>-1238681.5</v>
      </c>
      <c r="K23" s="30"/>
      <c r="L23" s="31">
        <f>SUM(L21:L22)</f>
        <v>-778599.8</v>
      </c>
    </row>
  </sheetData>
  <mergeCells count="21">
    <mergeCell ref="B18:L18"/>
    <mergeCell ref="G19:H19"/>
    <mergeCell ref="I19:J19"/>
    <mergeCell ref="K19:L19"/>
    <mergeCell ref="E21:E22"/>
    <mergeCell ref="F21:F22"/>
    <mergeCell ref="I21:I22"/>
    <mergeCell ref="B10:L10"/>
    <mergeCell ref="G11:H11"/>
    <mergeCell ref="I11:J11"/>
    <mergeCell ref="K11:L11"/>
    <mergeCell ref="E13:E14"/>
    <mergeCell ref="F13:F14"/>
    <mergeCell ref="I13:I14"/>
    <mergeCell ref="B2:L2"/>
    <mergeCell ref="G3:H3"/>
    <mergeCell ref="I3:J3"/>
    <mergeCell ref="K3:L3"/>
    <mergeCell ref="E5:E6"/>
    <mergeCell ref="F5:F6"/>
    <mergeCell ref="I5:I6"/>
  </mergeCells>
  <pageMargins left="0.7" right="0.7" top="0.75" bottom="0.75" header="0.3" footer="0.3"/>
  <pageSetup paperSize="9" scale="6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923A6F7929DA46B8205A06F9C57012" ma:contentTypeVersion="12" ma:contentTypeDescription="Creare un nuovo documento." ma:contentTypeScope="" ma:versionID="38d2f11b6c8cc578aac96a5d4433c053">
  <xsd:schema xmlns:xsd="http://www.w3.org/2001/XMLSchema" xmlns:xs="http://www.w3.org/2001/XMLSchema" xmlns:p="http://schemas.microsoft.com/office/2006/metadata/properties" xmlns:ns3="e4b3a1a5-cd4b-49ee-8768-a654ee34eaed" xmlns:ns4="7ae7bb0a-9543-4832-a2cf-b38c65722870" targetNamespace="http://schemas.microsoft.com/office/2006/metadata/properties" ma:root="true" ma:fieldsID="a0646f8ee4a93a592ff42ad2bcad46e8" ns3:_="" ns4:_="">
    <xsd:import namespace="e4b3a1a5-cd4b-49ee-8768-a654ee34eaed"/>
    <xsd:import namespace="7ae7bb0a-9543-4832-a2cf-b38c657228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3a1a5-cd4b-49ee-8768-a654ee34e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7bb0a-9543-4832-a2cf-b38c6572287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b3a1a5-cd4b-49ee-8768-a654ee34eaed" xsi:nil="true"/>
  </documentManagement>
</p:properties>
</file>

<file path=customXml/itemProps1.xml><?xml version="1.0" encoding="utf-8"?>
<ds:datastoreItem xmlns:ds="http://schemas.openxmlformats.org/officeDocument/2006/customXml" ds:itemID="{882749AA-63FC-42A7-80E4-0A7C547920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8921C9-5C5F-45E3-8F93-6BD7933A7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b3a1a5-cd4b-49ee-8768-a654ee34eaed"/>
    <ds:schemaRef ds:uri="7ae7bb0a-9543-4832-a2cf-b38c657228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06A2B5-9578-4441-BA2C-7CD03F5C1E17}">
  <ds:schemaRefs>
    <ds:schemaRef ds:uri="http://purl.org/dc/terms/"/>
    <ds:schemaRef ds:uri="http://schemas.microsoft.com/office/2006/documentManagement/types"/>
    <ds:schemaRef ds:uri="7ae7bb0a-9543-4832-a2cf-b38c65722870"/>
    <ds:schemaRef ds:uri="http://purl.org/dc/dcmitype/"/>
    <ds:schemaRef ds:uri="http://purl.org/dc/elements/1.1/"/>
    <ds:schemaRef ds:uri="http://www.w3.org/XML/1998/namespace"/>
    <ds:schemaRef ds:uri="e4b3a1a5-cd4b-49ee-8768-a654ee34eae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Ambiti e interventi</vt:lpstr>
      <vt:lpstr>Riepilogo_doc stampa e digitale</vt:lpstr>
      <vt:lpstr>Riepologo_OBF e AFC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Stallone</dc:creator>
  <cp:lastModifiedBy>Omar Ali</cp:lastModifiedBy>
  <cp:lastPrinted>2023-04-28T13:48:05Z</cp:lastPrinted>
  <dcterms:created xsi:type="dcterms:W3CDTF">2023-04-17T07:45:20Z</dcterms:created>
  <dcterms:modified xsi:type="dcterms:W3CDTF">2025-11-03T10:39:42Z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0x010100A4923A6F7929DA46B8205A06F9C57012</vt:lpwstr>
  </property>
</Properties>
</file>